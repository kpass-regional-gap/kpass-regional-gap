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50" yWindow="600" windowWidth="24640" windowHeight="13680"/>
  </bookViews>
  <sheets>
    <sheet name="통합데이터" sheetId="1" r:id="rId1"/>
    <sheet name="비용계산근거" sheetId="2" r:id="rId2"/>
  </sheets>
  <calcPr calcId="145621"/>
</workbook>
</file>

<file path=xl/calcChain.xml><?xml version="1.0" encoding="utf-8"?>
<calcChain xmlns="http://schemas.openxmlformats.org/spreadsheetml/2006/main">
  <c r="J19" i="2" l="1"/>
  <c r="DU18" i="1" s="1"/>
  <c r="I19" i="2"/>
  <c r="J18" i="2"/>
  <c r="DU17" i="1" s="1"/>
  <c r="I18" i="2"/>
  <c r="J17" i="2"/>
  <c r="I17" i="2"/>
  <c r="J16" i="2"/>
  <c r="DU15" i="1" s="1"/>
  <c r="I16" i="2"/>
  <c r="J15" i="2"/>
  <c r="I15" i="2"/>
  <c r="J14" i="2"/>
  <c r="DU13" i="1" s="1"/>
  <c r="I14" i="2"/>
  <c r="J13" i="2"/>
  <c r="I13" i="2"/>
  <c r="J12" i="2"/>
  <c r="DU11" i="1" s="1"/>
  <c r="I12" i="2"/>
  <c r="J11" i="2"/>
  <c r="DU10" i="1" s="1"/>
  <c r="I11" i="2"/>
  <c r="J10" i="2"/>
  <c r="DU9" i="1" s="1"/>
  <c r="I10" i="2"/>
  <c r="J9" i="2"/>
  <c r="I9" i="2"/>
  <c r="J8" i="2"/>
  <c r="DU7" i="1" s="1"/>
  <c r="I8" i="2"/>
  <c r="J7" i="2"/>
  <c r="DU6" i="1" s="1"/>
  <c r="I7" i="2"/>
  <c r="J6" i="2"/>
  <c r="DU5" i="1" s="1"/>
  <c r="I6" i="2"/>
  <c r="J5" i="2"/>
  <c r="I5" i="2"/>
  <c r="J4" i="2"/>
  <c r="DU3" i="1" s="1"/>
  <c r="I4" i="2"/>
  <c r="J3" i="2"/>
  <c r="DU2" i="1" s="1"/>
  <c r="I3" i="2"/>
  <c r="DU16" i="1"/>
  <c r="DU14" i="1"/>
  <c r="DU12" i="1"/>
  <c r="DU8" i="1"/>
  <c r="DU4" i="1"/>
</calcChain>
</file>

<file path=xl/sharedStrings.xml><?xml version="1.0" encoding="utf-8"?>
<sst xmlns="http://schemas.openxmlformats.org/spreadsheetml/2006/main" count="172" uniqueCount="154">
  <si>
    <t>시도명</t>
  </si>
  <si>
    <t>용도별_차종별_시군구별_자동차주행거리(KOSIS 국가통계포털)_2024_비사업용_승용차_1일 평균주행거리(㎞/대)</t>
  </si>
  <si>
    <t>용도별_차종별_시군구별_자동차주행거리(KOSIS 국가통계포털)_2024_비사업용_승용차_연간 주행거리(천㎞)</t>
  </si>
  <si>
    <t>유형별 총 이용인원(TS 한국교통안전공단)_2024_일반_이용인원(명)</t>
  </si>
  <si>
    <t>유형별 총 이용인원(TS 한국교통안전공단)_2024_어린이_이용인원(명)</t>
  </si>
  <si>
    <t>유형별 총 이용인원(TS 한국교통안전공단)_2024_청소년_이용인원(명)</t>
  </si>
  <si>
    <t>유형별 총 이용인원(TS 한국교통안전공단)_2024_고령자_이용인원(명)</t>
  </si>
  <si>
    <t>유형별 총 이용인원(TS 한국교통안전공단)_2024_기타_이용인원(명)</t>
  </si>
  <si>
    <t>시도별 총 이용인원(TS 한국교통안전공단)_2024_월_이용인원</t>
  </si>
  <si>
    <t>시도별 총 이용인원(TS 한국교통안전공단)_2024_화_이용인원</t>
  </si>
  <si>
    <t>시도별 총 이용인원(TS 한국교통안전공단)_2024_수_이용인원</t>
  </si>
  <si>
    <t>시도별 총 이용인원(TS 한국교통안전공단)_2024_목_이용인원</t>
  </si>
  <si>
    <t>시도별 총 이용인원(TS 한국교통안전공단)_2024_금_이용인원</t>
  </si>
  <si>
    <t>시도별 총 이용인원(TS 한국교통안전공단)_2024_토_이용인원</t>
  </si>
  <si>
    <t>시도별 총 이용인원(TS 한국교통안전공단)_2024_일_이용인원</t>
  </si>
  <si>
    <t>자동차등록대수현황_시도별(2024.12)_2024.12_승용_자가용(대)</t>
  </si>
  <si>
    <t>행정구역_시군구_별_1세별_주민등록인구(KOSIS 국가통계포털)_2024_총인구수(명)_0세</t>
  </si>
  <si>
    <t>행정구역_시군구_별_1세별_주민등록인구(KOSIS 국가통계포털)_2024_총인구수(명)_1세</t>
  </si>
  <si>
    <t>행정구역_시군구_별_1세별_주민등록인구(KOSIS 국가통계포털)_2024_총인구수(명)_2세</t>
  </si>
  <si>
    <t>행정구역_시군구_별_1세별_주민등록인구(KOSIS 국가통계포털)_2024_총인구수(명)_3세</t>
  </si>
  <si>
    <t>행정구역_시군구_별_1세별_주민등록인구(KOSIS 국가통계포털)_2024_총인구수(명)_4세</t>
  </si>
  <si>
    <t>행정구역_시군구_별_1세별_주민등록인구(KOSIS 국가통계포털)_2024_총인구수(명)_5세</t>
  </si>
  <si>
    <t>행정구역_시군구_별_1세별_주민등록인구(KOSIS 국가통계포털)_2024_총인구수(명)_6세</t>
  </si>
  <si>
    <t>행정구역_시군구_별_1세별_주민등록인구(KOSIS 국가통계포털)_2024_총인구수(명)_7세</t>
  </si>
  <si>
    <t>행정구역_시군구_별_1세별_주민등록인구(KOSIS 국가통계포털)_2024_총인구수(명)_8세</t>
  </si>
  <si>
    <t>행정구역_시군구_별_1세별_주민등록인구(KOSIS 국가통계포털)_2024_총인구수(명)_9세</t>
  </si>
  <si>
    <t>행정구역_시군구_별_1세별_주민등록인구(KOSIS 국가통계포털)_2024_총인구수(명)_10세</t>
  </si>
  <si>
    <t>행정구역_시군구_별_1세별_주민등록인구(KOSIS 국가통계포털)_2024_총인구수(명)_11세</t>
  </si>
  <si>
    <t>행정구역_시군구_별_1세별_주민등록인구(KOSIS 국가통계포털)_2024_총인구수(명)_12세</t>
  </si>
  <si>
    <t>행정구역_시군구_별_1세별_주민등록인구(KOSIS 국가통계포털)_2024_총인구수(명)_13세</t>
  </si>
  <si>
    <t>행정구역_시군구_별_1세별_주민등록인구(KOSIS 국가통계포털)_2024_총인구수(명)_14세</t>
  </si>
  <si>
    <t>행정구역_시군구_별_1세별_주민등록인구(KOSIS 국가통계포털)_2024_총인구수(명)_15세</t>
  </si>
  <si>
    <t>행정구역_시군구_별_1세별_주민등록인구(KOSIS 국가통계포털)_2024_총인구수(명)_16세</t>
  </si>
  <si>
    <t>행정구역_시군구_별_1세별_주민등록인구(KOSIS 국가통계포털)_2024_총인구수(명)_17세</t>
  </si>
  <si>
    <t>행정구역_시군구_별_1세별_주민등록인구(KOSIS 국가통계포털)_2024_총인구수(명)_18세</t>
  </si>
  <si>
    <t>행정구역_시군구_별_1세별_주민등록인구(KOSIS 국가통계포털)_2024_총인구수(명)_19세</t>
  </si>
  <si>
    <t>행정구역_시군구_별_1세별_주민등록인구(KOSIS 국가통계포털)_2024_총인구수(명)_20세</t>
  </si>
  <si>
    <t>행정구역_시군구_별_1세별_주민등록인구(KOSIS 국가통계포털)_2024_총인구수(명)_21세</t>
  </si>
  <si>
    <t>행정구역_시군구_별_1세별_주민등록인구(KOSIS 국가통계포털)_2024_총인구수(명)_22세</t>
  </si>
  <si>
    <t>행정구역_시군구_별_1세별_주민등록인구(KOSIS 국가통계포털)_2024_총인구수(명)_23세</t>
  </si>
  <si>
    <t>행정구역_시군구_별_1세별_주민등록인구(KOSIS 국가통계포털)_2024_총인구수(명)_24세</t>
  </si>
  <si>
    <t>행정구역_시군구_별_1세별_주민등록인구(KOSIS 국가통계포털)_2024_총인구수(명)_25세</t>
  </si>
  <si>
    <t>행정구역_시군구_별_1세별_주민등록인구(KOSIS 국가통계포털)_2024_총인구수(명)_26세</t>
  </si>
  <si>
    <t>행정구역_시군구_별_1세별_주민등록인구(KOSIS 국가통계포털)_2024_총인구수(명)_27세</t>
  </si>
  <si>
    <t>행정구역_시군구_별_1세별_주민등록인구(KOSIS 국가통계포털)_2024_총인구수(명)_28세</t>
  </si>
  <si>
    <t>행정구역_시군구_별_1세별_주민등록인구(KOSIS 국가통계포털)_2024_총인구수(명)_29세</t>
  </si>
  <si>
    <t>행정구역_시군구_별_1세별_주민등록인구(KOSIS 국가통계포털)_2024_총인구수(명)_30세</t>
  </si>
  <si>
    <t>행정구역_시군구_별_1세별_주민등록인구(KOSIS 국가통계포털)_2024_총인구수(명)_31세</t>
  </si>
  <si>
    <t>행정구역_시군구_별_1세별_주민등록인구(KOSIS 국가통계포털)_2024_총인구수(명)_32세</t>
  </si>
  <si>
    <t>행정구역_시군구_별_1세별_주민등록인구(KOSIS 국가통계포털)_2024_총인구수(명)_33세</t>
  </si>
  <si>
    <t>행정구역_시군구_별_1세별_주민등록인구(KOSIS 국가통계포털)_2024_총인구수(명)_34세</t>
  </si>
  <si>
    <t>행정구역_시군구_별_1세별_주민등록인구(KOSIS 국가통계포털)_2024_총인구수(명)_35세</t>
  </si>
  <si>
    <t>행정구역_시군구_별_1세별_주민등록인구(KOSIS 국가통계포털)_2024_총인구수(명)_36세</t>
  </si>
  <si>
    <t>행정구역_시군구_별_1세별_주민등록인구(KOSIS 국가통계포털)_2024_총인구수(명)_37세</t>
  </si>
  <si>
    <t>행정구역_시군구_별_1세별_주민등록인구(KOSIS 국가통계포털)_2024_총인구수(명)_38세</t>
  </si>
  <si>
    <t>행정구역_시군구_별_1세별_주민등록인구(KOSIS 국가통계포털)_2024_총인구수(명)_39세</t>
  </si>
  <si>
    <t>행정구역_시군구_별_1세별_주민등록인구(KOSIS 국가통계포털)_2024_총인구수(명)_40세</t>
  </si>
  <si>
    <t>행정구역_시군구_별_1세별_주민등록인구(KOSIS 국가통계포털)_2024_총인구수(명)_41세</t>
  </si>
  <si>
    <t>행정구역_시군구_별_1세별_주민등록인구(KOSIS 국가통계포털)_2024_총인구수(명)_42세</t>
  </si>
  <si>
    <t>행정구역_시군구_별_1세별_주민등록인구(KOSIS 국가통계포털)_2024_총인구수(명)_43세</t>
  </si>
  <si>
    <t>행정구역_시군구_별_1세별_주민등록인구(KOSIS 국가통계포털)_2024_총인구수(명)_44세</t>
  </si>
  <si>
    <t>행정구역_시군구_별_1세별_주민등록인구(KOSIS 국가통계포털)_2024_총인구수(명)_45세</t>
  </si>
  <si>
    <t>행정구역_시군구_별_1세별_주민등록인구(KOSIS 국가통계포털)_2024_총인구수(명)_46세</t>
  </si>
  <si>
    <t>행정구역_시군구_별_1세별_주민등록인구(KOSIS 국가통계포털)_2024_총인구수(명)_47세</t>
  </si>
  <si>
    <t>행정구역_시군구_별_1세별_주민등록인구(KOSIS 국가통계포털)_2024_총인구수(명)_48세</t>
  </si>
  <si>
    <t>행정구역_시군구_별_1세별_주민등록인구(KOSIS 국가통계포털)_2024_총인구수(명)_49세</t>
  </si>
  <si>
    <t>행정구역_시군구_별_1세별_주민등록인구(KOSIS 국가통계포털)_2024_총인구수(명)_50세</t>
  </si>
  <si>
    <t>행정구역_시군구_별_1세별_주민등록인구(KOSIS 국가통계포털)_2024_총인구수(명)_51세</t>
  </si>
  <si>
    <t>행정구역_시군구_별_1세별_주민등록인구(KOSIS 국가통계포털)_2024_총인구수(명)_52세</t>
  </si>
  <si>
    <t>행정구역_시군구_별_1세별_주민등록인구(KOSIS 국가통계포털)_2024_총인구수(명)_53세</t>
  </si>
  <si>
    <t>행정구역_시군구_별_1세별_주민등록인구(KOSIS 국가통계포털)_2024_총인구수(명)_54세</t>
  </si>
  <si>
    <t>행정구역_시군구_별_1세별_주민등록인구(KOSIS 국가통계포털)_2024_총인구수(명)_55세</t>
  </si>
  <si>
    <t>행정구역_시군구_별_1세별_주민등록인구(KOSIS 국가통계포털)_2024_총인구수(명)_56세</t>
  </si>
  <si>
    <t>행정구역_시군구_별_1세별_주민등록인구(KOSIS 국가통계포털)_2024_총인구수(명)_57세</t>
  </si>
  <si>
    <t>행정구역_시군구_별_1세별_주민등록인구(KOSIS 국가통계포털)_2024_총인구수(명)_58세</t>
  </si>
  <si>
    <t>행정구역_시군구_별_1세별_주민등록인구(KOSIS 국가통계포털)_2024_총인구수(명)_59세</t>
  </si>
  <si>
    <t>행정구역_시군구_별_1세별_주민등록인구(KOSIS 국가통계포털)_2024_총인구수(명)_60세</t>
  </si>
  <si>
    <t>행정구역_시군구_별_1세별_주민등록인구(KOSIS 국가통계포털)_2024_총인구수(명)_61세</t>
  </si>
  <si>
    <t>행정구역_시군구_별_1세별_주민등록인구(KOSIS 국가통계포털)_2024_총인구수(명)_62세</t>
  </si>
  <si>
    <t>행정구역_시군구_별_1세별_주민등록인구(KOSIS 국가통계포털)_2024_총인구수(명)_63세</t>
  </si>
  <si>
    <t>행정구역_시군구_별_1세별_주민등록인구(KOSIS 국가통계포털)_2024_총인구수(명)_64세</t>
  </si>
  <si>
    <t>행정구역_시군구_별_1세별_주민등록인구(KOSIS 국가통계포털)_2024_총인구수(명)_65세</t>
  </si>
  <si>
    <t>행정구역_시군구_별_1세별_주민등록인구(KOSIS 국가통계포털)_2024_총인구수(명)_66세</t>
  </si>
  <si>
    <t>행정구역_시군구_별_1세별_주민등록인구(KOSIS 국가통계포털)_2024_총인구수(명)_67세</t>
  </si>
  <si>
    <t>행정구역_시군구_별_1세별_주민등록인구(KOSIS 국가통계포털)_2024_총인구수(명)_68세</t>
  </si>
  <si>
    <t>행정구역_시군구_별_1세별_주민등록인구(KOSIS 국가통계포털)_2024_총인구수(명)_69세</t>
  </si>
  <si>
    <t>행정구역_시군구_별_1세별_주민등록인구(KOSIS 국가통계포털)_2024_총인구수(명)_70세</t>
  </si>
  <si>
    <t>행정구역_시군구_별_1세별_주민등록인구(KOSIS 국가통계포털)_2024_총인구수(명)_71세</t>
  </si>
  <si>
    <t>행정구역_시군구_별_1세별_주민등록인구(KOSIS 국가통계포털)_2024_총인구수(명)_72세</t>
  </si>
  <si>
    <t>행정구역_시군구_별_1세별_주민등록인구(KOSIS 국가통계포털)_2024_총인구수(명)_73세</t>
  </si>
  <si>
    <t>행정구역_시군구_별_1세별_주민등록인구(KOSIS 국가통계포털)_2024_총인구수(명)_74세</t>
  </si>
  <si>
    <t>행정구역_시군구_별_1세별_주민등록인구(KOSIS 국가통계포털)_2024_총인구수(명)_75세</t>
  </si>
  <si>
    <t>행정구역_시군구_별_1세별_주민등록인구(KOSIS 국가통계포털)_2024_총인구수(명)_76세</t>
  </si>
  <si>
    <t>행정구역_시군구_별_1세별_주민등록인구(KOSIS 국가통계포털)_2024_총인구수(명)_77세</t>
  </si>
  <si>
    <t>행정구역_시군구_별_1세별_주민등록인구(KOSIS 국가통계포털)_2024_총인구수(명)_78세</t>
  </si>
  <si>
    <t>행정구역_시군구_별_1세별_주민등록인구(KOSIS 국가통계포털)_2024_총인구수(명)_79세</t>
  </si>
  <si>
    <t>행정구역_시군구_별_1세별_주민등록인구(KOSIS 국가통계포털)_2024_총인구수(명)_80세</t>
  </si>
  <si>
    <t>행정구역_시군구_별_1세별_주민등록인구(KOSIS 국가통계포털)_2024_총인구수(명)_81세</t>
  </si>
  <si>
    <t>행정구역_시군구_별_1세별_주민등록인구(KOSIS 국가통계포털)_2024_총인구수(명)_82세</t>
  </si>
  <si>
    <t>행정구역_시군구_별_1세별_주민등록인구(KOSIS 국가통계포털)_2024_총인구수(명)_83세</t>
  </si>
  <si>
    <t>행정구역_시군구_별_1세별_주민등록인구(KOSIS 국가통계포털)_2024_총인구수(명)_84세</t>
  </si>
  <si>
    <t>행정구역_시군구_별_1세별_주민등록인구(KOSIS 국가통계포털)_2024_총인구수(명)_85세</t>
  </si>
  <si>
    <t>행정구역_시군구_별_1세별_주민등록인구(KOSIS 국가통계포털)_2024_총인구수(명)_86세</t>
  </si>
  <si>
    <t>행정구역_시군구_별_1세별_주민등록인구(KOSIS 국가통계포털)_2024_총인구수(명)_87세</t>
  </si>
  <si>
    <t>행정구역_시군구_별_1세별_주민등록인구(KOSIS 국가통계포털)_2024_총인구수(명)_88세</t>
  </si>
  <si>
    <t>행정구역_시군구_별_1세별_주민등록인구(KOSIS 국가통계포털)_2024_총인구수(명)_89세</t>
  </si>
  <si>
    <t>행정구역_시군구_별_1세별_주민등록인구(KOSIS 국가통계포털)_2024_총인구수(명)_90세</t>
  </si>
  <si>
    <t>행정구역_시군구_별_1세별_주민등록인구(KOSIS 국가통계포털)_2024_총인구수(명)_91세</t>
  </si>
  <si>
    <t>행정구역_시군구_별_1세별_주민등록인구(KOSIS 국가통계포털)_2024_총인구수(명)_92세</t>
  </si>
  <si>
    <t>행정구역_시군구_별_1세별_주민등록인구(KOSIS 국가통계포털)_2024_총인구수(명)_93세</t>
  </si>
  <si>
    <t>행정구역_시군구_별_1세별_주민등록인구(KOSIS 국가통계포털)_2024_총인구수(명)_94세</t>
  </si>
  <si>
    <t>행정구역_시군구_별_1세별_주민등록인구(KOSIS 국가통계포털)_2024_총인구수(명)_95세</t>
  </si>
  <si>
    <t>행정구역_시군구_별_1세별_주민등록인구(KOSIS 국가통계포털)_2024_총인구수(명)_96세</t>
  </si>
  <si>
    <t>행정구역_시군구_별_1세별_주민등록인구(KOSIS 국가통계포털)_2024_총인구수(명)_97세</t>
  </si>
  <si>
    <t>행정구역_시군구_별_1세별_주민등록인구(KOSIS 국가통계포털)_2024_총인구수(명)_98세</t>
  </si>
  <si>
    <t>행정구역_시군구_별_1세별_주민등록인구(KOSIS 국가통계포털)_2024_총인구수(명)_99세</t>
  </si>
  <si>
    <t>행정구역_시군구_별_1세별_주민등록인구(KOSIS 국가통계포털)_2024_총인구수(명)_100세 이상</t>
  </si>
  <si>
    <t>배차간격_요일별(TS 한국교통안전공단)_2024_월_배차간격</t>
  </si>
  <si>
    <t>배차간격_요일별(TS 한국교통안전공단)_2024_화_배차간격</t>
  </si>
  <si>
    <t>배차간격_요일별(TS 한국교통안전공단)_2024_수_배차간격</t>
  </si>
  <si>
    <t>배차간격_요일별(TS 한국교통안전공단)_2024_목_배차간격</t>
  </si>
  <si>
    <t>배차간격_요일별(TS 한국교통안전공단)_2024_금_배차간격</t>
  </si>
  <si>
    <t>배차간격_요일별(TS 한국교통안전공단)_2024_토_배차간격</t>
  </si>
  <si>
    <t>배차간격_요일별(TS 한국교통안전공단)_2024_일_배차간격</t>
  </si>
  <si>
    <t>시도별_월평균_대중교통비용(KOSIS 국가통계포털)(1)_2024_월평균 비용(만원)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</si>
  <si>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</si>
  <si>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</si>
  <si>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</si>
  <si>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</si>
  <si>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</si>
  <si>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</si>
  <si>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</si>
  <si>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</si>
  <si>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</si>
  <si>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</si>
  <si>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</si>
  <si>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</si>
  <si>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</si>
  <si>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</si>
  <si>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</si>
  <si>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</si>
  <si>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</si>
  <si>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2만원 미만</t>
  </si>
  <si>
    <t>2만원~4만원</t>
  </si>
  <si>
    <t>4만원~6만원</t>
  </si>
  <si>
    <t>6만원~8만원</t>
  </si>
  <si>
    <t>8만원~10만원</t>
  </si>
  <si>
    <t>10만원~12만원</t>
  </si>
  <si>
    <t>12만원 이상</t>
  </si>
  <si>
    <t>원본 비율 합계(%)</t>
  </si>
  <si>
    <t>월평균 비용(만원)</t>
  </si>
  <si>
    <t>구간 대표값(만원)</t>
  </si>
  <si>
    <t>계산 방식: 원본 비율 × 구간 대표값의 합 ÷ 100. 비율 합계 보정 없음.</t>
  </si>
  <si>
    <t>출처: 시도별_월평균_대중교통비용(KOSIS 국가통계포털)(1).xlsx / 데이터 시트 / 2024년 / 원본 단위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</si>
</sst>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.0"/>
    <numFmt numFmtId="177" formatCode="0.0"/>
    <numFmt numFmtId="178" formatCode="0.000"/>
  </numFmts>
  <fonts count="5">
    <font>
      <sz val="11"/>
      <name val="Carlito"/>
    </font>
    <font>
      <sz val="10"/>
      <name val="Arial"/>
      <family val="2"/>
    </font>
    <font>
      <b/>
      <sz val="10"/>
      <color rgb="FFFFFFFF"/>
      <name val="Arial"/>
      <family val="2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263D57"/>
      </patternFill>
    </fill>
    <fill>
      <patternFill patternType="solid">
        <fgColor rgb="FFF0F4F8"/>
      </patternFill>
    </fill>
    <fill>
      <patternFill patternType="solid">
        <fgColor rgb="FFE4EA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2" fillId="2" borderId="0" xfId="1" applyNumberFormat="1" applyFont="1" applyFill="1" applyBorder="1" applyAlignment="1">
      <alignment horizontal="center" vertical="center" wrapText="1"/>
    </xf>
    <xf numFmtId="0" fontId="1" fillId="3" borderId="0" xfId="1" applyNumberFormat="1" applyFont="1" applyFill="1" applyBorder="1" applyAlignment="1">
      <alignment vertical="center"/>
    </xf>
    <xf numFmtId="177" fontId="1" fillId="3" borderId="0" xfId="1" applyNumberFormat="1" applyFont="1" applyFill="1" applyBorder="1" applyAlignment="1">
      <alignment vertical="center"/>
    </xf>
    <xf numFmtId="177" fontId="1" fillId="0" borderId="0" xfId="1" applyNumberFormat="1" applyFont="1" applyFill="1" applyBorder="1" applyAlignment="1">
      <alignment vertical="center"/>
    </xf>
    <xf numFmtId="178" fontId="1" fillId="3" borderId="0" xfId="1" applyNumberFormat="1" applyFont="1" applyFill="1" applyBorder="1" applyAlignment="1">
      <alignment vertical="center"/>
    </xf>
    <xf numFmtId="178" fontId="1" fillId="0" borderId="0" xfId="1" applyNumberFormat="1" applyFont="1" applyFill="1" applyBorder="1" applyAlignment="1">
      <alignment vertical="center"/>
    </xf>
    <xf numFmtId="0" fontId="1" fillId="4" borderId="0" xfId="1" applyNumberFormat="1" applyFont="1" applyFill="1" applyBorder="1" applyAlignment="1">
      <alignment vertical="center"/>
    </xf>
    <xf numFmtId="176" fontId="1" fillId="3" borderId="0" xfId="1" applyNumberFormat="1" applyFont="1" applyFill="1" applyBorder="1" applyAlignment="1">
      <alignment horizontal="center" vertical="center"/>
    </xf>
    <xf numFmtId="3" fontId="1" fillId="3" borderId="0" xfId="1" applyNumberFormat="1" applyFont="1" applyFill="1" applyBorder="1" applyAlignment="1">
      <alignment horizontal="center" vertical="center"/>
    </xf>
    <xf numFmtId="177" fontId="1" fillId="3" borderId="0" xfId="1" applyNumberFormat="1" applyFont="1" applyFill="1" applyBorder="1" applyAlignment="1">
      <alignment horizontal="center" vertical="center"/>
    </xf>
    <xf numFmtId="178" fontId="1" fillId="3" borderId="0" xfId="1" applyNumberFormat="1" applyFont="1" applyFill="1" applyBorder="1" applyAlignment="1">
      <alignment horizontal="center" vertical="center"/>
    </xf>
    <xf numFmtId="176" fontId="1" fillId="0" borderId="0" xfId="1" applyNumberFormat="1" applyFont="1" applyFill="1" applyBorder="1" applyAlignment="1">
      <alignment horizontal="center" vertical="center"/>
    </xf>
    <xf numFmtId="3" fontId="1" fillId="0" borderId="0" xfId="1" applyNumberFormat="1" applyFont="1" applyFill="1" applyBorder="1" applyAlignment="1">
      <alignment horizontal="center" vertical="center"/>
    </xf>
    <xf numFmtId="177" fontId="1" fillId="0" borderId="0" xfId="1" applyNumberFormat="1" applyFont="1" applyFill="1" applyBorder="1" applyAlignment="1">
      <alignment horizontal="center" vertical="center"/>
    </xf>
    <xf numFmtId="178" fontId="1" fillId="0" borderId="0" xfId="1" applyNumberFormat="1" applyFont="1" applyFill="1" applyBorder="1" applyAlignment="1">
      <alignment horizontal="center" vertical="center"/>
    </xf>
  </cellXfs>
  <cellStyles count="2">
    <cellStyle name="Normal" xfId="1"/>
    <cellStyle name="표준" xfId="0" builtinId="0"/>
  </cellStyles>
  <dxfs count="12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MergedData" displayName="MergedData" ref="A1:DU18" totalsRowShown="0">
  <tableColumns count="125">
    <tableColumn id="1" name="시도명"/>
    <tableColumn id="2" name="용도별_차종별_시군구별_자동차주행거리(KOSIS 국가통계포털)_2024_비사업용_승용차_1일 평균주행거리(㎞/대)" dataDxfId="123"/>
    <tableColumn id="3" name="용도별_차종별_시군구별_자동차주행거리(KOSIS 국가통계포털)_2024_비사업용_승용차_연간 주행거리(천㎞)" dataDxfId="122"/>
    <tableColumn id="4" name="유형별 총 이용인원(TS 한국교통안전공단)_2024_일반_이용인원(명)" dataDxfId="121"/>
    <tableColumn id="5" name="유형별 총 이용인원(TS 한국교통안전공단)_2024_어린이_이용인원(명)" dataDxfId="120"/>
    <tableColumn id="6" name="유형별 총 이용인원(TS 한국교통안전공단)_2024_청소년_이용인원(명)" dataDxfId="119"/>
    <tableColumn id="7" name="유형별 총 이용인원(TS 한국교통안전공단)_2024_고령자_이용인원(명)" dataDxfId="118"/>
    <tableColumn id="8" name="유형별 총 이용인원(TS 한국교통안전공단)_2024_기타_이용인원(명)" dataDxfId="117"/>
    <tableColumn id="9" name="시도별 총 이용인원(TS 한국교통안전공단)_2024_월_이용인원" dataDxfId="116"/>
    <tableColumn id="10" name="시도별 총 이용인원(TS 한국교통안전공단)_2024_화_이용인원" dataDxfId="115"/>
    <tableColumn id="11" name="시도별 총 이용인원(TS 한국교통안전공단)_2024_수_이용인원" dataDxfId="114"/>
    <tableColumn id="12" name="시도별 총 이용인원(TS 한국교통안전공단)_2024_목_이용인원" dataDxfId="113"/>
    <tableColumn id="13" name="시도별 총 이용인원(TS 한국교통안전공단)_2024_금_이용인원" dataDxfId="112"/>
    <tableColumn id="14" name="시도별 총 이용인원(TS 한국교통안전공단)_2024_토_이용인원" dataDxfId="111"/>
    <tableColumn id="15" name="시도별 총 이용인원(TS 한국교통안전공단)_2024_일_이용인원" dataDxfId="110"/>
    <tableColumn id="16" name="자동차등록대수현황_시도별(2024.12)_2024.12_승용_자가용(대)" dataDxfId="109"/>
    <tableColumn id="17" name="행정구역_시군구_별_1세별_주민등록인구(KOSIS 국가통계포털)_2024_총인구수(명)_0세" dataDxfId="108"/>
    <tableColumn id="18" name="행정구역_시군구_별_1세별_주민등록인구(KOSIS 국가통계포털)_2024_총인구수(명)_1세" dataDxfId="107"/>
    <tableColumn id="19" name="행정구역_시군구_별_1세별_주민등록인구(KOSIS 국가통계포털)_2024_총인구수(명)_2세" dataDxfId="106"/>
    <tableColumn id="20" name="행정구역_시군구_별_1세별_주민등록인구(KOSIS 국가통계포털)_2024_총인구수(명)_3세" dataDxfId="105"/>
    <tableColumn id="21" name="행정구역_시군구_별_1세별_주민등록인구(KOSIS 국가통계포털)_2024_총인구수(명)_4세" dataDxfId="104"/>
    <tableColumn id="22" name="행정구역_시군구_별_1세별_주민등록인구(KOSIS 국가통계포털)_2024_총인구수(명)_5세" dataDxfId="103"/>
    <tableColumn id="23" name="행정구역_시군구_별_1세별_주민등록인구(KOSIS 국가통계포털)_2024_총인구수(명)_6세" dataDxfId="102"/>
    <tableColumn id="24" name="행정구역_시군구_별_1세별_주민등록인구(KOSIS 국가통계포털)_2024_총인구수(명)_7세" dataDxfId="101"/>
    <tableColumn id="25" name="행정구역_시군구_별_1세별_주민등록인구(KOSIS 국가통계포털)_2024_총인구수(명)_8세" dataDxfId="100"/>
    <tableColumn id="26" name="행정구역_시군구_별_1세별_주민등록인구(KOSIS 국가통계포털)_2024_총인구수(명)_9세" dataDxfId="99"/>
    <tableColumn id="27" name="행정구역_시군구_별_1세별_주민등록인구(KOSIS 국가통계포털)_2024_총인구수(명)_10세" dataDxfId="98"/>
    <tableColumn id="28" name="행정구역_시군구_별_1세별_주민등록인구(KOSIS 국가통계포털)_2024_총인구수(명)_11세" dataDxfId="97"/>
    <tableColumn id="29" name="행정구역_시군구_별_1세별_주민등록인구(KOSIS 국가통계포털)_2024_총인구수(명)_12세" dataDxfId="96"/>
    <tableColumn id="30" name="행정구역_시군구_별_1세별_주민등록인구(KOSIS 국가통계포털)_2024_총인구수(명)_13세" dataDxfId="95"/>
    <tableColumn id="31" name="행정구역_시군구_별_1세별_주민등록인구(KOSIS 국가통계포털)_2024_총인구수(명)_14세" dataDxfId="94"/>
    <tableColumn id="32" name="행정구역_시군구_별_1세별_주민등록인구(KOSIS 국가통계포털)_2024_총인구수(명)_15세" dataDxfId="93"/>
    <tableColumn id="33" name="행정구역_시군구_별_1세별_주민등록인구(KOSIS 국가통계포털)_2024_총인구수(명)_16세" dataDxfId="92"/>
    <tableColumn id="34" name="행정구역_시군구_별_1세별_주민등록인구(KOSIS 국가통계포털)_2024_총인구수(명)_17세" dataDxfId="91"/>
    <tableColumn id="35" name="행정구역_시군구_별_1세별_주민등록인구(KOSIS 국가통계포털)_2024_총인구수(명)_18세" dataDxfId="90"/>
    <tableColumn id="36" name="행정구역_시군구_별_1세별_주민등록인구(KOSIS 국가통계포털)_2024_총인구수(명)_19세" dataDxfId="89"/>
    <tableColumn id="37" name="행정구역_시군구_별_1세별_주민등록인구(KOSIS 국가통계포털)_2024_총인구수(명)_20세" dataDxfId="88"/>
    <tableColumn id="38" name="행정구역_시군구_별_1세별_주민등록인구(KOSIS 국가통계포털)_2024_총인구수(명)_21세" dataDxfId="87"/>
    <tableColumn id="39" name="행정구역_시군구_별_1세별_주민등록인구(KOSIS 국가통계포털)_2024_총인구수(명)_22세" dataDxfId="86"/>
    <tableColumn id="40" name="행정구역_시군구_별_1세별_주민등록인구(KOSIS 국가통계포털)_2024_총인구수(명)_23세" dataDxfId="85"/>
    <tableColumn id="41" name="행정구역_시군구_별_1세별_주민등록인구(KOSIS 국가통계포털)_2024_총인구수(명)_24세" dataDxfId="84"/>
    <tableColumn id="42" name="행정구역_시군구_별_1세별_주민등록인구(KOSIS 국가통계포털)_2024_총인구수(명)_25세" dataDxfId="83"/>
    <tableColumn id="43" name="행정구역_시군구_별_1세별_주민등록인구(KOSIS 국가통계포털)_2024_총인구수(명)_26세" dataDxfId="82"/>
    <tableColumn id="44" name="행정구역_시군구_별_1세별_주민등록인구(KOSIS 국가통계포털)_2024_총인구수(명)_27세" dataDxfId="81"/>
    <tableColumn id="45" name="행정구역_시군구_별_1세별_주민등록인구(KOSIS 국가통계포털)_2024_총인구수(명)_28세" dataDxfId="80"/>
    <tableColumn id="46" name="행정구역_시군구_별_1세별_주민등록인구(KOSIS 국가통계포털)_2024_총인구수(명)_29세" dataDxfId="79"/>
    <tableColumn id="47" name="행정구역_시군구_별_1세별_주민등록인구(KOSIS 국가통계포털)_2024_총인구수(명)_30세" dataDxfId="78"/>
    <tableColumn id="48" name="행정구역_시군구_별_1세별_주민등록인구(KOSIS 국가통계포털)_2024_총인구수(명)_31세" dataDxfId="77"/>
    <tableColumn id="49" name="행정구역_시군구_별_1세별_주민등록인구(KOSIS 국가통계포털)_2024_총인구수(명)_32세" dataDxfId="76"/>
    <tableColumn id="50" name="행정구역_시군구_별_1세별_주민등록인구(KOSIS 국가통계포털)_2024_총인구수(명)_33세" dataDxfId="75"/>
    <tableColumn id="51" name="행정구역_시군구_별_1세별_주민등록인구(KOSIS 국가통계포털)_2024_총인구수(명)_34세" dataDxfId="74"/>
    <tableColumn id="52" name="행정구역_시군구_별_1세별_주민등록인구(KOSIS 국가통계포털)_2024_총인구수(명)_35세" dataDxfId="73"/>
    <tableColumn id="53" name="행정구역_시군구_별_1세별_주민등록인구(KOSIS 국가통계포털)_2024_총인구수(명)_36세" dataDxfId="72"/>
    <tableColumn id="54" name="행정구역_시군구_별_1세별_주민등록인구(KOSIS 국가통계포털)_2024_총인구수(명)_37세" dataDxfId="71"/>
    <tableColumn id="55" name="행정구역_시군구_별_1세별_주민등록인구(KOSIS 국가통계포털)_2024_총인구수(명)_38세" dataDxfId="70"/>
    <tableColumn id="56" name="행정구역_시군구_별_1세별_주민등록인구(KOSIS 국가통계포털)_2024_총인구수(명)_39세" dataDxfId="69"/>
    <tableColumn id="57" name="행정구역_시군구_별_1세별_주민등록인구(KOSIS 국가통계포털)_2024_총인구수(명)_40세" dataDxfId="68"/>
    <tableColumn id="58" name="행정구역_시군구_별_1세별_주민등록인구(KOSIS 국가통계포털)_2024_총인구수(명)_41세" dataDxfId="67"/>
    <tableColumn id="59" name="행정구역_시군구_별_1세별_주민등록인구(KOSIS 국가통계포털)_2024_총인구수(명)_42세" dataDxfId="66"/>
    <tableColumn id="60" name="행정구역_시군구_별_1세별_주민등록인구(KOSIS 국가통계포털)_2024_총인구수(명)_43세" dataDxfId="65"/>
    <tableColumn id="61" name="행정구역_시군구_별_1세별_주민등록인구(KOSIS 국가통계포털)_2024_총인구수(명)_44세" dataDxfId="64"/>
    <tableColumn id="62" name="행정구역_시군구_별_1세별_주민등록인구(KOSIS 국가통계포털)_2024_총인구수(명)_45세" dataDxfId="63"/>
    <tableColumn id="63" name="행정구역_시군구_별_1세별_주민등록인구(KOSIS 국가통계포털)_2024_총인구수(명)_46세" dataDxfId="62"/>
    <tableColumn id="64" name="행정구역_시군구_별_1세별_주민등록인구(KOSIS 국가통계포털)_2024_총인구수(명)_47세" dataDxfId="61"/>
    <tableColumn id="65" name="행정구역_시군구_별_1세별_주민등록인구(KOSIS 국가통계포털)_2024_총인구수(명)_48세" dataDxfId="60"/>
    <tableColumn id="66" name="행정구역_시군구_별_1세별_주민등록인구(KOSIS 국가통계포털)_2024_총인구수(명)_49세" dataDxfId="59"/>
    <tableColumn id="67" name="행정구역_시군구_별_1세별_주민등록인구(KOSIS 국가통계포털)_2024_총인구수(명)_50세" dataDxfId="58"/>
    <tableColumn id="68" name="행정구역_시군구_별_1세별_주민등록인구(KOSIS 국가통계포털)_2024_총인구수(명)_51세" dataDxfId="57"/>
    <tableColumn id="69" name="행정구역_시군구_별_1세별_주민등록인구(KOSIS 국가통계포털)_2024_총인구수(명)_52세" dataDxfId="56"/>
    <tableColumn id="70" name="행정구역_시군구_별_1세별_주민등록인구(KOSIS 국가통계포털)_2024_총인구수(명)_53세" dataDxfId="55"/>
    <tableColumn id="71" name="행정구역_시군구_별_1세별_주민등록인구(KOSIS 국가통계포털)_2024_총인구수(명)_54세" dataDxfId="54"/>
    <tableColumn id="72" name="행정구역_시군구_별_1세별_주민등록인구(KOSIS 국가통계포털)_2024_총인구수(명)_55세" dataDxfId="53"/>
    <tableColumn id="73" name="행정구역_시군구_별_1세별_주민등록인구(KOSIS 국가통계포털)_2024_총인구수(명)_56세" dataDxfId="52"/>
    <tableColumn id="74" name="행정구역_시군구_별_1세별_주민등록인구(KOSIS 국가통계포털)_2024_총인구수(명)_57세" dataDxfId="51"/>
    <tableColumn id="75" name="행정구역_시군구_별_1세별_주민등록인구(KOSIS 국가통계포털)_2024_총인구수(명)_58세" dataDxfId="50"/>
    <tableColumn id="76" name="행정구역_시군구_별_1세별_주민등록인구(KOSIS 국가통계포털)_2024_총인구수(명)_59세" dataDxfId="49"/>
    <tableColumn id="77" name="행정구역_시군구_별_1세별_주민등록인구(KOSIS 국가통계포털)_2024_총인구수(명)_60세" dataDxfId="48"/>
    <tableColumn id="78" name="행정구역_시군구_별_1세별_주민등록인구(KOSIS 국가통계포털)_2024_총인구수(명)_61세" dataDxfId="47"/>
    <tableColumn id="79" name="행정구역_시군구_별_1세별_주민등록인구(KOSIS 국가통계포털)_2024_총인구수(명)_62세" dataDxfId="46"/>
    <tableColumn id="80" name="행정구역_시군구_별_1세별_주민등록인구(KOSIS 국가통계포털)_2024_총인구수(명)_63세" dataDxfId="45"/>
    <tableColumn id="81" name="행정구역_시군구_별_1세별_주민등록인구(KOSIS 국가통계포털)_2024_총인구수(명)_64세" dataDxfId="44"/>
    <tableColumn id="82" name="행정구역_시군구_별_1세별_주민등록인구(KOSIS 국가통계포털)_2024_총인구수(명)_65세" dataDxfId="43"/>
    <tableColumn id="83" name="행정구역_시군구_별_1세별_주민등록인구(KOSIS 국가통계포털)_2024_총인구수(명)_66세" dataDxfId="42"/>
    <tableColumn id="84" name="행정구역_시군구_별_1세별_주민등록인구(KOSIS 국가통계포털)_2024_총인구수(명)_67세" dataDxfId="41"/>
    <tableColumn id="85" name="행정구역_시군구_별_1세별_주민등록인구(KOSIS 국가통계포털)_2024_총인구수(명)_68세" dataDxfId="40"/>
    <tableColumn id="86" name="행정구역_시군구_별_1세별_주민등록인구(KOSIS 국가통계포털)_2024_총인구수(명)_69세" dataDxfId="39"/>
    <tableColumn id="87" name="행정구역_시군구_별_1세별_주민등록인구(KOSIS 국가통계포털)_2024_총인구수(명)_70세" dataDxfId="38"/>
    <tableColumn id="88" name="행정구역_시군구_별_1세별_주민등록인구(KOSIS 국가통계포털)_2024_총인구수(명)_71세" dataDxfId="37"/>
    <tableColumn id="89" name="행정구역_시군구_별_1세별_주민등록인구(KOSIS 국가통계포털)_2024_총인구수(명)_72세" dataDxfId="36"/>
    <tableColumn id="90" name="행정구역_시군구_별_1세별_주민등록인구(KOSIS 국가통계포털)_2024_총인구수(명)_73세" dataDxfId="35"/>
    <tableColumn id="91" name="행정구역_시군구_별_1세별_주민등록인구(KOSIS 국가통계포털)_2024_총인구수(명)_74세" dataDxfId="34"/>
    <tableColumn id="92" name="행정구역_시군구_별_1세별_주민등록인구(KOSIS 국가통계포털)_2024_총인구수(명)_75세" dataDxfId="33"/>
    <tableColumn id="93" name="행정구역_시군구_별_1세별_주민등록인구(KOSIS 국가통계포털)_2024_총인구수(명)_76세" dataDxfId="32"/>
    <tableColumn id="94" name="행정구역_시군구_별_1세별_주민등록인구(KOSIS 국가통계포털)_2024_총인구수(명)_77세" dataDxfId="31"/>
    <tableColumn id="95" name="행정구역_시군구_별_1세별_주민등록인구(KOSIS 국가통계포털)_2024_총인구수(명)_78세" dataDxfId="30"/>
    <tableColumn id="96" name="행정구역_시군구_별_1세별_주민등록인구(KOSIS 국가통계포털)_2024_총인구수(명)_79세" dataDxfId="29"/>
    <tableColumn id="97" name="행정구역_시군구_별_1세별_주민등록인구(KOSIS 국가통계포털)_2024_총인구수(명)_80세" dataDxfId="28"/>
    <tableColumn id="98" name="행정구역_시군구_별_1세별_주민등록인구(KOSIS 국가통계포털)_2024_총인구수(명)_81세" dataDxfId="27"/>
    <tableColumn id="99" name="행정구역_시군구_별_1세별_주민등록인구(KOSIS 국가통계포털)_2024_총인구수(명)_82세" dataDxfId="26"/>
    <tableColumn id="100" name="행정구역_시군구_별_1세별_주민등록인구(KOSIS 국가통계포털)_2024_총인구수(명)_83세" dataDxfId="25"/>
    <tableColumn id="101" name="행정구역_시군구_별_1세별_주민등록인구(KOSIS 국가통계포털)_2024_총인구수(명)_84세" dataDxfId="24"/>
    <tableColumn id="102" name="행정구역_시군구_별_1세별_주민등록인구(KOSIS 국가통계포털)_2024_총인구수(명)_85세" dataDxfId="23"/>
    <tableColumn id="103" name="행정구역_시군구_별_1세별_주민등록인구(KOSIS 국가통계포털)_2024_총인구수(명)_86세" dataDxfId="22"/>
    <tableColumn id="104" name="행정구역_시군구_별_1세별_주민등록인구(KOSIS 국가통계포털)_2024_총인구수(명)_87세" dataDxfId="21"/>
    <tableColumn id="105" name="행정구역_시군구_별_1세별_주민등록인구(KOSIS 국가통계포털)_2024_총인구수(명)_88세" dataDxfId="20"/>
    <tableColumn id="106" name="행정구역_시군구_별_1세별_주민등록인구(KOSIS 국가통계포털)_2024_총인구수(명)_89세" dataDxfId="19"/>
    <tableColumn id="107" name="행정구역_시군구_별_1세별_주민등록인구(KOSIS 국가통계포털)_2024_총인구수(명)_90세" dataDxfId="18"/>
    <tableColumn id="108" name="행정구역_시군구_별_1세별_주민등록인구(KOSIS 국가통계포털)_2024_총인구수(명)_91세" dataDxfId="17"/>
    <tableColumn id="109" name="행정구역_시군구_별_1세별_주민등록인구(KOSIS 국가통계포털)_2024_총인구수(명)_92세" dataDxfId="16"/>
    <tableColumn id="110" name="행정구역_시군구_별_1세별_주민등록인구(KOSIS 국가통계포털)_2024_총인구수(명)_93세" dataDxfId="15"/>
    <tableColumn id="111" name="행정구역_시군구_별_1세별_주민등록인구(KOSIS 국가통계포털)_2024_총인구수(명)_94세" dataDxfId="14"/>
    <tableColumn id="112" name="행정구역_시군구_별_1세별_주민등록인구(KOSIS 국가통계포털)_2024_총인구수(명)_95세" dataDxfId="13"/>
    <tableColumn id="113" name="행정구역_시군구_별_1세별_주민등록인구(KOSIS 국가통계포털)_2024_총인구수(명)_96세" dataDxfId="12"/>
    <tableColumn id="114" name="행정구역_시군구_별_1세별_주민등록인구(KOSIS 국가통계포털)_2024_총인구수(명)_97세" dataDxfId="11"/>
    <tableColumn id="115" name="행정구역_시군구_별_1세별_주민등록인구(KOSIS 국가통계포털)_2024_총인구수(명)_98세" dataDxfId="10"/>
    <tableColumn id="116" name="행정구역_시군구_별_1세별_주민등록인구(KOSIS 국가통계포털)_2024_총인구수(명)_99세" dataDxfId="9"/>
    <tableColumn id="117" name="행정구역_시군구_별_1세별_주민등록인구(KOSIS 국가통계포털)_2024_총인구수(명)_100세 이상" dataDxfId="8"/>
    <tableColumn id="118" name="배차간격_요일별(TS 한국교통안전공단)_2024_월_배차간격" dataDxfId="7"/>
    <tableColumn id="119" name="배차간격_요일별(TS 한국교통안전공단)_2024_화_배차간격" dataDxfId="6"/>
    <tableColumn id="120" name="배차간격_요일별(TS 한국교통안전공단)_2024_수_배차간격" dataDxfId="5"/>
    <tableColumn id="121" name="배차간격_요일별(TS 한국교통안전공단)_2024_목_배차간격" dataDxfId="4"/>
    <tableColumn id="122" name="배차간격_요일별(TS 한국교통안전공단)_2024_금_배차간격" dataDxfId="3"/>
    <tableColumn id="123" name="배차간격_요일별(TS 한국교통안전공단)_2024_토_배차간격" dataDxfId="2"/>
    <tableColumn id="124" name="배차간격_요일별(TS 한국교통안전공단)_2024_일_배차간격" dataDxfId="1"/>
    <tableColumn id="125" name="시도별_월평균_대중교통비용(KOSIS 국가통계포털)(1)_2024_월평균 비용(만원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18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B14" sqref="B14"/>
    </sheetView>
  </sheetViews>
  <sheetFormatPr defaultRowHeight="14"/>
  <cols>
    <col min="1" max="1" width="25" customWidth="1"/>
    <col min="2" max="125" width="34" customWidth="1"/>
  </cols>
  <sheetData>
    <row r="1" spans="1:125" ht="11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</row>
    <row r="2" spans="1:125" ht="24" customHeight="1">
      <c r="A2" s="3" t="s">
        <v>125</v>
      </c>
      <c r="B2" s="9">
        <v>27.2</v>
      </c>
      <c r="C2" s="9">
        <v>26437489</v>
      </c>
      <c r="D2" s="10">
        <v>3212764</v>
      </c>
      <c r="E2" s="10">
        <v>31986</v>
      </c>
      <c r="F2" s="10">
        <v>161146</v>
      </c>
      <c r="G2" s="10">
        <v>120229</v>
      </c>
      <c r="H2" s="10">
        <v>422512</v>
      </c>
      <c r="I2" s="10">
        <v>3948637</v>
      </c>
      <c r="J2" s="10">
        <v>4000732</v>
      </c>
      <c r="K2" s="10">
        <v>3991588</v>
      </c>
      <c r="L2" s="10">
        <v>4037018</v>
      </c>
      <c r="M2" s="10">
        <v>4168560</v>
      </c>
      <c r="N2" s="10">
        <v>3203286</v>
      </c>
      <c r="O2" s="10">
        <v>2566636</v>
      </c>
      <c r="P2" s="10">
        <v>2656854</v>
      </c>
      <c r="Q2" s="10">
        <v>39588</v>
      </c>
      <c r="R2" s="10">
        <v>37696</v>
      </c>
      <c r="S2" s="10">
        <v>40295</v>
      </c>
      <c r="T2" s="10">
        <v>42163</v>
      </c>
      <c r="U2" s="10">
        <v>43155</v>
      </c>
      <c r="V2" s="10">
        <v>47146</v>
      </c>
      <c r="W2" s="10">
        <v>50295</v>
      </c>
      <c r="X2" s="10">
        <v>54899</v>
      </c>
      <c r="Y2" s="10">
        <v>61875</v>
      </c>
      <c r="Z2" s="10">
        <v>66668</v>
      </c>
      <c r="AA2" s="10">
        <v>66426</v>
      </c>
      <c r="AB2" s="10">
        <v>66625</v>
      </c>
      <c r="AC2" s="10">
        <v>74642</v>
      </c>
      <c r="AD2" s="10">
        <v>71709</v>
      </c>
      <c r="AE2" s="10">
        <v>72634</v>
      </c>
      <c r="AF2" s="10">
        <v>69493</v>
      </c>
      <c r="AG2" s="10">
        <v>73553</v>
      </c>
      <c r="AH2" s="10">
        <v>77999</v>
      </c>
      <c r="AI2" s="10">
        <v>72242</v>
      </c>
      <c r="AJ2" s="10">
        <v>75444</v>
      </c>
      <c r="AK2" s="10">
        <v>87480</v>
      </c>
      <c r="AL2" s="10">
        <v>92749</v>
      </c>
      <c r="AM2" s="10">
        <v>97032</v>
      </c>
      <c r="AN2" s="10">
        <v>115026</v>
      </c>
      <c r="AO2" s="10">
        <v>138282</v>
      </c>
      <c r="AP2" s="10">
        <v>139207</v>
      </c>
      <c r="AQ2" s="10">
        <v>149155</v>
      </c>
      <c r="AR2" s="10">
        <v>159528</v>
      </c>
      <c r="AS2" s="10">
        <v>162724</v>
      </c>
      <c r="AT2" s="10">
        <v>167077</v>
      </c>
      <c r="AU2" s="10">
        <v>168204</v>
      </c>
      <c r="AV2" s="10">
        <v>164677</v>
      </c>
      <c r="AW2" s="10">
        <v>165011</v>
      </c>
      <c r="AX2" s="10">
        <v>157803</v>
      </c>
      <c r="AY2" s="10">
        <v>141004</v>
      </c>
      <c r="AZ2" s="10">
        <v>134863</v>
      </c>
      <c r="BA2" s="10">
        <v>132271</v>
      </c>
      <c r="BB2" s="10">
        <v>126247</v>
      </c>
      <c r="BC2" s="10">
        <v>125422</v>
      </c>
      <c r="BD2" s="10">
        <v>127163</v>
      </c>
      <c r="BE2" s="10">
        <v>125909</v>
      </c>
      <c r="BF2" s="10">
        <v>138603</v>
      </c>
      <c r="BG2" s="10">
        <v>147204</v>
      </c>
      <c r="BH2" s="10">
        <v>149164</v>
      </c>
      <c r="BI2" s="10">
        <v>147759</v>
      </c>
      <c r="BJ2" s="10">
        <v>146004</v>
      </c>
      <c r="BK2" s="10">
        <v>124689</v>
      </c>
      <c r="BL2" s="10">
        <v>135402</v>
      </c>
      <c r="BM2" s="10">
        <v>133190</v>
      </c>
      <c r="BN2" s="10">
        <v>136026</v>
      </c>
      <c r="BO2" s="10">
        <v>147045</v>
      </c>
      <c r="BP2" s="10">
        <v>152374</v>
      </c>
      <c r="BQ2" s="10">
        <v>155429</v>
      </c>
      <c r="BR2" s="10">
        <v>163270</v>
      </c>
      <c r="BS2" s="10">
        <v>157640</v>
      </c>
      <c r="BT2" s="10">
        <v>154869</v>
      </c>
      <c r="BU2" s="10">
        <v>150401</v>
      </c>
      <c r="BV2" s="10">
        <v>140204</v>
      </c>
      <c r="BW2" s="10">
        <v>128533</v>
      </c>
      <c r="BX2" s="10">
        <v>136303</v>
      </c>
      <c r="BY2" s="10">
        <v>135577</v>
      </c>
      <c r="BZ2" s="10">
        <v>128776</v>
      </c>
      <c r="CA2" s="10">
        <v>138973</v>
      </c>
      <c r="CB2" s="10">
        <v>142214</v>
      </c>
      <c r="CC2" s="10">
        <v>147150</v>
      </c>
      <c r="CD2" s="10">
        <v>138069</v>
      </c>
      <c r="CE2" s="10">
        <v>128429</v>
      </c>
      <c r="CF2" s="10">
        <v>128047</v>
      </c>
      <c r="CG2" s="10">
        <v>116489</v>
      </c>
      <c r="CH2" s="10">
        <v>122515</v>
      </c>
      <c r="CI2" s="10">
        <v>103648</v>
      </c>
      <c r="CJ2" s="10">
        <v>90701</v>
      </c>
      <c r="CK2" s="10">
        <v>98441</v>
      </c>
      <c r="CL2" s="10">
        <v>68286</v>
      </c>
      <c r="CM2" s="10">
        <v>75705</v>
      </c>
      <c r="CN2" s="10">
        <v>75830</v>
      </c>
      <c r="CO2" s="10">
        <v>74253</v>
      </c>
      <c r="CP2" s="10">
        <v>75184</v>
      </c>
      <c r="CQ2" s="10">
        <v>59990</v>
      </c>
      <c r="CR2" s="10">
        <v>51733</v>
      </c>
      <c r="CS2" s="10">
        <v>51195</v>
      </c>
      <c r="CT2" s="10">
        <v>48823</v>
      </c>
      <c r="CU2" s="10">
        <v>55954</v>
      </c>
      <c r="CV2" s="10">
        <v>43542</v>
      </c>
      <c r="CW2" s="10">
        <v>35431</v>
      </c>
      <c r="CX2" s="10">
        <v>33261</v>
      </c>
      <c r="CY2" s="10">
        <v>27529</v>
      </c>
      <c r="CZ2" s="10">
        <v>23409</v>
      </c>
      <c r="DA2" s="10">
        <v>19475</v>
      </c>
      <c r="DB2" s="10">
        <v>16631</v>
      </c>
      <c r="DC2" s="10">
        <v>12786</v>
      </c>
      <c r="DD2" s="10">
        <v>9732</v>
      </c>
      <c r="DE2" s="10">
        <v>7750</v>
      </c>
      <c r="DF2" s="10">
        <v>5459</v>
      </c>
      <c r="DG2" s="10">
        <v>4340</v>
      </c>
      <c r="DH2" s="10">
        <v>3580</v>
      </c>
      <c r="DI2" s="10">
        <v>2501</v>
      </c>
      <c r="DJ2" s="10">
        <v>1813</v>
      </c>
      <c r="DK2" s="10">
        <v>1020</v>
      </c>
      <c r="DL2" s="10">
        <v>613</v>
      </c>
      <c r="DM2" s="10">
        <v>1484</v>
      </c>
      <c r="DN2" s="11">
        <v>10.6</v>
      </c>
      <c r="DO2" s="11">
        <v>10.6</v>
      </c>
      <c r="DP2" s="11">
        <v>10.6</v>
      </c>
      <c r="DQ2" s="11">
        <v>10.7</v>
      </c>
      <c r="DR2" s="11">
        <v>10.7</v>
      </c>
      <c r="DS2" s="11">
        <v>12.4</v>
      </c>
      <c r="DT2" s="11">
        <v>13.2</v>
      </c>
      <c r="DU2" s="12">
        <f>비용계산근거!J3</f>
        <v>5.23</v>
      </c>
    </row>
    <row r="3" spans="1:125" ht="24" customHeight="1">
      <c r="A3" s="1" t="s">
        <v>126</v>
      </c>
      <c r="B3" s="13">
        <v>29.8</v>
      </c>
      <c r="C3" s="13">
        <v>12702071.9</v>
      </c>
      <c r="D3" s="14">
        <v>702658</v>
      </c>
      <c r="E3" s="14">
        <v>18764</v>
      </c>
      <c r="F3" s="14">
        <v>60351</v>
      </c>
      <c r="G3" s="14">
        <v>19053</v>
      </c>
      <c r="H3" s="14">
        <v>147063</v>
      </c>
      <c r="I3" s="14">
        <v>947890</v>
      </c>
      <c r="J3" s="14">
        <v>953321</v>
      </c>
      <c r="K3" s="14">
        <v>954744</v>
      </c>
      <c r="L3" s="14">
        <v>965208</v>
      </c>
      <c r="M3" s="14">
        <v>1018102</v>
      </c>
      <c r="N3" s="14">
        <v>823849</v>
      </c>
      <c r="O3" s="14">
        <v>626605</v>
      </c>
      <c r="P3" s="14">
        <v>1187450</v>
      </c>
      <c r="Q3" s="14">
        <v>12847</v>
      </c>
      <c r="R3" s="14">
        <v>13063</v>
      </c>
      <c r="S3" s="14">
        <v>14374</v>
      </c>
      <c r="T3" s="14">
        <v>15137</v>
      </c>
      <c r="U3" s="14">
        <v>15715</v>
      </c>
      <c r="V3" s="14">
        <v>17651</v>
      </c>
      <c r="W3" s="14">
        <v>19674</v>
      </c>
      <c r="X3" s="14">
        <v>21789</v>
      </c>
      <c r="Y3" s="14">
        <v>24711</v>
      </c>
      <c r="Z3" s="14">
        <v>26775</v>
      </c>
      <c r="AA3" s="14">
        <v>26331</v>
      </c>
      <c r="AB3" s="14">
        <v>25902</v>
      </c>
      <c r="AC3" s="14">
        <v>28647</v>
      </c>
      <c r="AD3" s="14">
        <v>27562</v>
      </c>
      <c r="AE3" s="14">
        <v>27048</v>
      </c>
      <c r="AF3" s="14">
        <v>24706</v>
      </c>
      <c r="AG3" s="14">
        <v>25822</v>
      </c>
      <c r="AH3" s="14">
        <v>27291</v>
      </c>
      <c r="AI3" s="14">
        <v>24612</v>
      </c>
      <c r="AJ3" s="14">
        <v>24931</v>
      </c>
      <c r="AK3" s="14">
        <v>27588</v>
      </c>
      <c r="AL3" s="14">
        <v>29628</v>
      </c>
      <c r="AM3" s="14">
        <v>30720</v>
      </c>
      <c r="AN3" s="14">
        <v>35323</v>
      </c>
      <c r="AO3" s="14">
        <v>39829</v>
      </c>
      <c r="AP3" s="14">
        <v>37567</v>
      </c>
      <c r="AQ3" s="14">
        <v>37794</v>
      </c>
      <c r="AR3" s="14">
        <v>38863</v>
      </c>
      <c r="AS3" s="14">
        <v>40436</v>
      </c>
      <c r="AT3" s="14">
        <v>40640</v>
      </c>
      <c r="AU3" s="14">
        <v>41436</v>
      </c>
      <c r="AV3" s="14">
        <v>41728</v>
      </c>
      <c r="AW3" s="14">
        <v>42678</v>
      </c>
      <c r="AX3" s="14">
        <v>41314</v>
      </c>
      <c r="AY3" s="14">
        <v>37193</v>
      </c>
      <c r="AZ3" s="14">
        <v>37704</v>
      </c>
      <c r="BA3" s="14">
        <v>36721</v>
      </c>
      <c r="BB3" s="14">
        <v>36027</v>
      </c>
      <c r="BC3" s="14">
        <v>36287</v>
      </c>
      <c r="BD3" s="14">
        <v>37870</v>
      </c>
      <c r="BE3" s="14">
        <v>39285</v>
      </c>
      <c r="BF3" s="14">
        <v>44920</v>
      </c>
      <c r="BG3" s="14">
        <v>49419</v>
      </c>
      <c r="BH3" s="14">
        <v>52314</v>
      </c>
      <c r="BI3" s="14">
        <v>52235</v>
      </c>
      <c r="BJ3" s="14">
        <v>51326</v>
      </c>
      <c r="BK3" s="14">
        <v>43943</v>
      </c>
      <c r="BL3" s="14">
        <v>46277</v>
      </c>
      <c r="BM3" s="14">
        <v>44271</v>
      </c>
      <c r="BN3" s="14">
        <v>47181</v>
      </c>
      <c r="BO3" s="14">
        <v>50753</v>
      </c>
      <c r="BP3" s="14">
        <v>52991</v>
      </c>
      <c r="BQ3" s="14">
        <v>53729</v>
      </c>
      <c r="BR3" s="14">
        <v>55931</v>
      </c>
      <c r="BS3" s="14">
        <v>55480</v>
      </c>
      <c r="BT3" s="14">
        <v>55840</v>
      </c>
      <c r="BU3" s="14">
        <v>56476</v>
      </c>
      <c r="BV3" s="14">
        <v>53960</v>
      </c>
      <c r="BW3" s="14">
        <v>50156</v>
      </c>
      <c r="BX3" s="14">
        <v>52169</v>
      </c>
      <c r="BY3" s="14">
        <v>51401</v>
      </c>
      <c r="BZ3" s="14">
        <v>51027</v>
      </c>
      <c r="CA3" s="14">
        <v>58352</v>
      </c>
      <c r="CB3" s="14">
        <v>61524</v>
      </c>
      <c r="CC3" s="14">
        <v>63128</v>
      </c>
      <c r="CD3" s="14">
        <v>58705</v>
      </c>
      <c r="CE3" s="14">
        <v>55152</v>
      </c>
      <c r="CF3" s="14">
        <v>55862</v>
      </c>
      <c r="CG3" s="14">
        <v>51296</v>
      </c>
      <c r="CH3" s="14">
        <v>54645</v>
      </c>
      <c r="CI3" s="14">
        <v>45312</v>
      </c>
      <c r="CJ3" s="14">
        <v>39904</v>
      </c>
      <c r="CK3" s="14">
        <v>42877</v>
      </c>
      <c r="CL3" s="14">
        <v>34054</v>
      </c>
      <c r="CM3" s="14">
        <v>33302</v>
      </c>
      <c r="CN3" s="14">
        <v>33549</v>
      </c>
      <c r="CO3" s="14">
        <v>32738</v>
      </c>
      <c r="CP3" s="14">
        <v>31013</v>
      </c>
      <c r="CQ3" s="14">
        <v>24070</v>
      </c>
      <c r="CR3" s="14">
        <v>20028</v>
      </c>
      <c r="CS3" s="14">
        <v>22047</v>
      </c>
      <c r="CT3" s="14">
        <v>21154</v>
      </c>
      <c r="CU3" s="14">
        <v>22708</v>
      </c>
      <c r="CV3" s="14">
        <v>18157</v>
      </c>
      <c r="CW3" s="14">
        <v>15342</v>
      </c>
      <c r="CX3" s="14">
        <v>14016</v>
      </c>
      <c r="CY3" s="14">
        <v>11282</v>
      </c>
      <c r="CZ3" s="14">
        <v>9409</v>
      </c>
      <c r="DA3" s="14">
        <v>7890</v>
      </c>
      <c r="DB3" s="14">
        <v>6641</v>
      </c>
      <c r="DC3" s="14">
        <v>5148</v>
      </c>
      <c r="DD3" s="14">
        <v>3748</v>
      </c>
      <c r="DE3" s="14">
        <v>2946</v>
      </c>
      <c r="DF3" s="14">
        <v>2217</v>
      </c>
      <c r="DG3" s="14">
        <v>1494</v>
      </c>
      <c r="DH3" s="14">
        <v>1227</v>
      </c>
      <c r="DI3" s="14">
        <v>956</v>
      </c>
      <c r="DJ3" s="14">
        <v>669</v>
      </c>
      <c r="DK3" s="14">
        <v>347</v>
      </c>
      <c r="DL3" s="14">
        <v>242</v>
      </c>
      <c r="DM3" s="14">
        <v>429</v>
      </c>
      <c r="DN3" s="15">
        <v>11.4</v>
      </c>
      <c r="DO3" s="15">
        <v>11.4</v>
      </c>
      <c r="DP3" s="15">
        <v>11.4</v>
      </c>
      <c r="DQ3" s="15">
        <v>11.5</v>
      </c>
      <c r="DR3" s="15">
        <v>11.5</v>
      </c>
      <c r="DS3" s="15">
        <v>12.6</v>
      </c>
      <c r="DT3" s="15">
        <v>13.2</v>
      </c>
      <c r="DU3" s="16">
        <f>비용계산근거!J4</f>
        <v>5.2770000000000001</v>
      </c>
    </row>
    <row r="4" spans="1:125" ht="24" customHeight="1">
      <c r="A4" s="3" t="s">
        <v>127</v>
      </c>
      <c r="B4" s="9">
        <v>30.7</v>
      </c>
      <c r="C4" s="9">
        <v>11616708.6</v>
      </c>
      <c r="D4" s="10">
        <v>300707</v>
      </c>
      <c r="E4" s="10">
        <v>39217</v>
      </c>
      <c r="F4" s="10">
        <v>8679</v>
      </c>
      <c r="G4" s="10">
        <v>6340</v>
      </c>
      <c r="H4" s="10">
        <v>79778</v>
      </c>
      <c r="I4" s="10">
        <v>434713</v>
      </c>
      <c r="J4" s="10">
        <v>438697</v>
      </c>
      <c r="K4" s="10">
        <v>439393</v>
      </c>
      <c r="L4" s="10">
        <v>442554</v>
      </c>
      <c r="M4" s="10">
        <v>469009</v>
      </c>
      <c r="N4" s="10">
        <v>371299</v>
      </c>
      <c r="O4" s="10">
        <v>278975</v>
      </c>
      <c r="P4" s="10">
        <v>1038535</v>
      </c>
      <c r="Q4" s="10">
        <v>10090</v>
      </c>
      <c r="R4" s="10">
        <v>9894</v>
      </c>
      <c r="S4" s="10">
        <v>10908</v>
      </c>
      <c r="T4" s="10">
        <v>11675</v>
      </c>
      <c r="U4" s="10">
        <v>12307</v>
      </c>
      <c r="V4" s="10">
        <v>14297</v>
      </c>
      <c r="W4" s="10">
        <v>15557</v>
      </c>
      <c r="X4" s="10">
        <v>17208</v>
      </c>
      <c r="Y4" s="10">
        <v>19612</v>
      </c>
      <c r="Z4" s="10">
        <v>20680</v>
      </c>
      <c r="AA4" s="10">
        <v>20619</v>
      </c>
      <c r="AB4" s="10">
        <v>20312</v>
      </c>
      <c r="AC4" s="10">
        <v>22710</v>
      </c>
      <c r="AD4" s="10">
        <v>21843</v>
      </c>
      <c r="AE4" s="10">
        <v>21569</v>
      </c>
      <c r="AF4" s="10">
        <v>20177</v>
      </c>
      <c r="AG4" s="10">
        <v>21212</v>
      </c>
      <c r="AH4" s="10">
        <v>22830</v>
      </c>
      <c r="AI4" s="10">
        <v>20661</v>
      </c>
      <c r="AJ4" s="10">
        <v>20505</v>
      </c>
      <c r="AK4" s="10">
        <v>22068</v>
      </c>
      <c r="AL4" s="10">
        <v>24043</v>
      </c>
      <c r="AM4" s="10">
        <v>23332</v>
      </c>
      <c r="AN4" s="10">
        <v>26269</v>
      </c>
      <c r="AO4" s="10">
        <v>29438</v>
      </c>
      <c r="AP4" s="10">
        <v>27686</v>
      </c>
      <c r="AQ4" s="10">
        <v>27239</v>
      </c>
      <c r="AR4" s="10">
        <v>28768</v>
      </c>
      <c r="AS4" s="10">
        <v>29020</v>
      </c>
      <c r="AT4" s="10">
        <v>30237</v>
      </c>
      <c r="AU4" s="10">
        <v>29898</v>
      </c>
      <c r="AV4" s="10">
        <v>29974</v>
      </c>
      <c r="AW4" s="10">
        <v>30886</v>
      </c>
      <c r="AX4" s="10">
        <v>30142</v>
      </c>
      <c r="AY4" s="10">
        <v>27374</v>
      </c>
      <c r="AZ4" s="10">
        <v>27714</v>
      </c>
      <c r="BA4" s="10">
        <v>25823</v>
      </c>
      <c r="BB4" s="10">
        <v>26326</v>
      </c>
      <c r="BC4" s="10">
        <v>26809</v>
      </c>
      <c r="BD4" s="10">
        <v>27686</v>
      </c>
      <c r="BE4" s="10">
        <v>27778</v>
      </c>
      <c r="BF4" s="10">
        <v>32008</v>
      </c>
      <c r="BG4" s="10">
        <v>35681</v>
      </c>
      <c r="BH4" s="10">
        <v>37028</v>
      </c>
      <c r="BI4" s="10">
        <v>36871</v>
      </c>
      <c r="BJ4" s="10">
        <v>37054</v>
      </c>
      <c r="BK4" s="10">
        <v>31661</v>
      </c>
      <c r="BL4" s="10">
        <v>35111</v>
      </c>
      <c r="BM4" s="10">
        <v>34802</v>
      </c>
      <c r="BN4" s="10">
        <v>36651</v>
      </c>
      <c r="BO4" s="10">
        <v>39147</v>
      </c>
      <c r="BP4" s="10">
        <v>41279</v>
      </c>
      <c r="BQ4" s="10">
        <v>42256</v>
      </c>
      <c r="BR4" s="10">
        <v>43748</v>
      </c>
      <c r="BS4" s="10">
        <v>42828</v>
      </c>
      <c r="BT4" s="10">
        <v>43455</v>
      </c>
      <c r="BU4" s="10">
        <v>44472</v>
      </c>
      <c r="BV4" s="10">
        <v>42107</v>
      </c>
      <c r="BW4" s="10">
        <v>38439</v>
      </c>
      <c r="BX4" s="10">
        <v>40450</v>
      </c>
      <c r="BY4" s="10">
        <v>39445</v>
      </c>
      <c r="BZ4" s="10">
        <v>37128</v>
      </c>
      <c r="CA4" s="10">
        <v>41638</v>
      </c>
      <c r="CB4" s="10">
        <v>42937</v>
      </c>
      <c r="CC4" s="10">
        <v>41001</v>
      </c>
      <c r="CD4" s="10">
        <v>40445</v>
      </c>
      <c r="CE4" s="10">
        <v>33625</v>
      </c>
      <c r="CF4" s="10">
        <v>34956</v>
      </c>
      <c r="CG4" s="10">
        <v>31886</v>
      </c>
      <c r="CH4" s="10">
        <v>32469</v>
      </c>
      <c r="CI4" s="10">
        <v>26750</v>
      </c>
      <c r="CJ4" s="10">
        <v>24970</v>
      </c>
      <c r="CK4" s="10">
        <v>27052</v>
      </c>
      <c r="CL4" s="10">
        <v>20593</v>
      </c>
      <c r="CM4" s="10">
        <v>20201</v>
      </c>
      <c r="CN4" s="10">
        <v>20791</v>
      </c>
      <c r="CO4" s="10">
        <v>20536</v>
      </c>
      <c r="CP4" s="10">
        <v>19077</v>
      </c>
      <c r="CQ4" s="10">
        <v>13336</v>
      </c>
      <c r="CR4" s="10">
        <v>11837</v>
      </c>
      <c r="CS4" s="10">
        <v>13745</v>
      </c>
      <c r="CT4" s="10">
        <v>13906</v>
      </c>
      <c r="CU4" s="10">
        <v>15207</v>
      </c>
      <c r="CV4" s="10">
        <v>12142</v>
      </c>
      <c r="CW4" s="10">
        <v>10070</v>
      </c>
      <c r="CX4" s="10">
        <v>9811</v>
      </c>
      <c r="CY4" s="10">
        <v>7948</v>
      </c>
      <c r="CZ4" s="10">
        <v>6876</v>
      </c>
      <c r="DA4" s="10">
        <v>5808</v>
      </c>
      <c r="DB4" s="10">
        <v>4993</v>
      </c>
      <c r="DC4" s="10">
        <v>3844</v>
      </c>
      <c r="DD4" s="10">
        <v>2827</v>
      </c>
      <c r="DE4" s="10">
        <v>2306</v>
      </c>
      <c r="DF4" s="10">
        <v>1597</v>
      </c>
      <c r="DG4" s="10">
        <v>1150</v>
      </c>
      <c r="DH4" s="10">
        <v>819</v>
      </c>
      <c r="DI4" s="10">
        <v>618</v>
      </c>
      <c r="DJ4" s="10">
        <v>414</v>
      </c>
      <c r="DK4" s="10">
        <v>233</v>
      </c>
      <c r="DL4" s="10">
        <v>158</v>
      </c>
      <c r="DM4" s="10">
        <v>260</v>
      </c>
      <c r="DN4" s="11">
        <v>13.6</v>
      </c>
      <c r="DO4" s="11">
        <v>13.5</v>
      </c>
      <c r="DP4" s="11">
        <v>13.5</v>
      </c>
      <c r="DQ4" s="11">
        <v>13.6</v>
      </c>
      <c r="DR4" s="11">
        <v>13.6</v>
      </c>
      <c r="DS4" s="11">
        <v>14.4</v>
      </c>
      <c r="DT4" s="11">
        <v>16</v>
      </c>
      <c r="DU4" s="12">
        <f>비용계산근거!J5</f>
        <v>5.282</v>
      </c>
    </row>
    <row r="5" spans="1:125" ht="24" customHeight="1">
      <c r="A5" s="1" t="s">
        <v>128</v>
      </c>
      <c r="B5" s="13">
        <v>30.4</v>
      </c>
      <c r="C5" s="13">
        <v>13973511.6</v>
      </c>
      <c r="D5" s="14">
        <v>562148</v>
      </c>
      <c r="E5" s="14">
        <v>6590</v>
      </c>
      <c r="F5" s="14">
        <v>51814</v>
      </c>
      <c r="G5" s="14">
        <v>16936</v>
      </c>
      <c r="H5" s="14">
        <v>68421</v>
      </c>
      <c r="I5" s="14">
        <v>705903</v>
      </c>
      <c r="J5" s="14">
        <v>711189</v>
      </c>
      <c r="K5" s="14">
        <v>709422</v>
      </c>
      <c r="L5" s="14">
        <v>718249</v>
      </c>
      <c r="M5" s="14">
        <v>743107</v>
      </c>
      <c r="N5" s="14">
        <v>557118</v>
      </c>
      <c r="O5" s="14">
        <v>427122</v>
      </c>
      <c r="P5" s="14">
        <v>1275199</v>
      </c>
      <c r="Q5" s="14">
        <v>15433</v>
      </c>
      <c r="R5" s="14">
        <v>15014</v>
      </c>
      <c r="S5" s="14">
        <v>16369</v>
      </c>
      <c r="T5" s="14">
        <v>16845</v>
      </c>
      <c r="U5" s="14">
        <v>17730</v>
      </c>
      <c r="V5" s="14">
        <v>19526</v>
      </c>
      <c r="W5" s="14">
        <v>20660</v>
      </c>
      <c r="X5" s="14">
        <v>21926</v>
      </c>
      <c r="Y5" s="14">
        <v>24927</v>
      </c>
      <c r="Z5" s="14">
        <v>26766</v>
      </c>
      <c r="AA5" s="14">
        <v>26262</v>
      </c>
      <c r="AB5" s="14">
        <v>26299</v>
      </c>
      <c r="AC5" s="14">
        <v>28903</v>
      </c>
      <c r="AD5" s="14">
        <v>28645</v>
      </c>
      <c r="AE5" s="14">
        <v>27991</v>
      </c>
      <c r="AF5" s="14">
        <v>26465</v>
      </c>
      <c r="AG5" s="14">
        <v>27282</v>
      </c>
      <c r="AH5" s="14">
        <v>29269</v>
      </c>
      <c r="AI5" s="14">
        <v>26014</v>
      </c>
      <c r="AJ5" s="14">
        <v>25446</v>
      </c>
      <c r="AK5" s="14">
        <v>27046</v>
      </c>
      <c r="AL5" s="14">
        <v>28705</v>
      </c>
      <c r="AM5" s="14">
        <v>28222</v>
      </c>
      <c r="AN5" s="14">
        <v>32351</v>
      </c>
      <c r="AO5" s="14">
        <v>36690</v>
      </c>
      <c r="AP5" s="14">
        <v>36274</v>
      </c>
      <c r="AQ5" s="14">
        <v>37556</v>
      </c>
      <c r="AR5" s="14">
        <v>40453</v>
      </c>
      <c r="AS5" s="14">
        <v>41056</v>
      </c>
      <c r="AT5" s="14">
        <v>43043</v>
      </c>
      <c r="AU5" s="14">
        <v>44095</v>
      </c>
      <c r="AV5" s="14">
        <v>44944</v>
      </c>
      <c r="AW5" s="14">
        <v>46449</v>
      </c>
      <c r="AX5" s="14">
        <v>45358</v>
      </c>
      <c r="AY5" s="14">
        <v>41279</v>
      </c>
      <c r="AZ5" s="14">
        <v>40564</v>
      </c>
      <c r="BA5" s="14">
        <v>39859</v>
      </c>
      <c r="BB5" s="14">
        <v>38867</v>
      </c>
      <c r="BC5" s="14">
        <v>39654</v>
      </c>
      <c r="BD5" s="14">
        <v>41031</v>
      </c>
      <c r="BE5" s="14">
        <v>41455</v>
      </c>
      <c r="BF5" s="14">
        <v>46729</v>
      </c>
      <c r="BG5" s="14">
        <v>50995</v>
      </c>
      <c r="BH5" s="14">
        <v>52248</v>
      </c>
      <c r="BI5" s="14">
        <v>51435</v>
      </c>
      <c r="BJ5" s="14">
        <v>50590</v>
      </c>
      <c r="BK5" s="14">
        <v>43698</v>
      </c>
      <c r="BL5" s="14">
        <v>46793</v>
      </c>
      <c r="BM5" s="14">
        <v>44611</v>
      </c>
      <c r="BN5" s="14">
        <v>47039</v>
      </c>
      <c r="BO5" s="14">
        <v>50003</v>
      </c>
      <c r="BP5" s="14">
        <v>52138</v>
      </c>
      <c r="BQ5" s="14">
        <v>52302</v>
      </c>
      <c r="BR5" s="14">
        <v>54380</v>
      </c>
      <c r="BS5" s="14">
        <v>53182</v>
      </c>
      <c r="BT5" s="14">
        <v>53358</v>
      </c>
      <c r="BU5" s="14">
        <v>53620</v>
      </c>
      <c r="BV5" s="14">
        <v>49666</v>
      </c>
      <c r="BW5" s="14">
        <v>47373</v>
      </c>
      <c r="BX5" s="14">
        <v>50561</v>
      </c>
      <c r="BY5" s="14">
        <v>50136</v>
      </c>
      <c r="BZ5" s="14">
        <v>47261</v>
      </c>
      <c r="CA5" s="14">
        <v>52013</v>
      </c>
      <c r="CB5" s="14">
        <v>52372</v>
      </c>
      <c r="CC5" s="14">
        <v>52415</v>
      </c>
      <c r="CD5" s="14">
        <v>47371</v>
      </c>
      <c r="CE5" s="14">
        <v>43645</v>
      </c>
      <c r="CF5" s="14">
        <v>41536</v>
      </c>
      <c r="CG5" s="14">
        <v>36200</v>
      </c>
      <c r="CH5" s="14">
        <v>36945</v>
      </c>
      <c r="CI5" s="14">
        <v>30561</v>
      </c>
      <c r="CJ5" s="14">
        <v>25631</v>
      </c>
      <c r="CK5" s="14">
        <v>27984</v>
      </c>
      <c r="CL5" s="14">
        <v>18180</v>
      </c>
      <c r="CM5" s="14">
        <v>20328</v>
      </c>
      <c r="CN5" s="14">
        <v>20613</v>
      </c>
      <c r="CO5" s="14">
        <v>19800</v>
      </c>
      <c r="CP5" s="14">
        <v>20066</v>
      </c>
      <c r="CQ5" s="14">
        <v>16040</v>
      </c>
      <c r="CR5" s="14">
        <v>13317</v>
      </c>
      <c r="CS5" s="14">
        <v>13271</v>
      </c>
      <c r="CT5" s="14">
        <v>13107</v>
      </c>
      <c r="CU5" s="14">
        <v>15030</v>
      </c>
      <c r="CV5" s="14">
        <v>11712</v>
      </c>
      <c r="CW5" s="14">
        <v>9580</v>
      </c>
      <c r="CX5" s="14">
        <v>9442</v>
      </c>
      <c r="CY5" s="14">
        <v>8243</v>
      </c>
      <c r="CZ5" s="14">
        <v>6803</v>
      </c>
      <c r="DA5" s="14">
        <v>6029</v>
      </c>
      <c r="DB5" s="14">
        <v>5135</v>
      </c>
      <c r="DC5" s="14">
        <v>4061</v>
      </c>
      <c r="DD5" s="14">
        <v>3177</v>
      </c>
      <c r="DE5" s="14">
        <v>2547</v>
      </c>
      <c r="DF5" s="14">
        <v>1883</v>
      </c>
      <c r="DG5" s="14">
        <v>1444</v>
      </c>
      <c r="DH5" s="14">
        <v>1178</v>
      </c>
      <c r="DI5" s="14">
        <v>828</v>
      </c>
      <c r="DJ5" s="14">
        <v>596</v>
      </c>
      <c r="DK5" s="14">
        <v>339</v>
      </c>
      <c r="DL5" s="14">
        <v>241</v>
      </c>
      <c r="DM5" s="14">
        <v>506</v>
      </c>
      <c r="DN5" s="15">
        <v>15.4</v>
      </c>
      <c r="DO5" s="15">
        <v>15.4</v>
      </c>
      <c r="DP5" s="15">
        <v>15.3</v>
      </c>
      <c r="DQ5" s="15">
        <v>15.4</v>
      </c>
      <c r="DR5" s="15">
        <v>15.4</v>
      </c>
      <c r="DS5" s="15">
        <v>18.2</v>
      </c>
      <c r="DT5" s="15">
        <v>19.8</v>
      </c>
      <c r="DU5" s="16">
        <f>비용계산근거!J6</f>
        <v>5.2519999999999989</v>
      </c>
    </row>
    <row r="6" spans="1:125" ht="24" customHeight="1">
      <c r="A6" s="3" t="s">
        <v>129</v>
      </c>
      <c r="B6" s="9">
        <v>31</v>
      </c>
      <c r="C6" s="9">
        <v>6810431.5999999996</v>
      </c>
      <c r="D6" s="10">
        <v>148278</v>
      </c>
      <c r="E6" s="10">
        <v>2283</v>
      </c>
      <c r="F6" s="10">
        <v>22854</v>
      </c>
      <c r="G6" s="10">
        <v>1085</v>
      </c>
      <c r="H6" s="10">
        <v>6917</v>
      </c>
      <c r="I6" s="10">
        <v>181412</v>
      </c>
      <c r="J6" s="10">
        <v>183851</v>
      </c>
      <c r="K6" s="10">
        <v>185268</v>
      </c>
      <c r="L6" s="10">
        <v>184854</v>
      </c>
      <c r="M6" s="10">
        <v>193139</v>
      </c>
      <c r="N6" s="10">
        <v>135422</v>
      </c>
      <c r="O6" s="10">
        <v>105220</v>
      </c>
      <c r="P6" s="10">
        <v>602377</v>
      </c>
      <c r="Q6" s="10">
        <v>6020</v>
      </c>
      <c r="R6" s="10">
        <v>6424</v>
      </c>
      <c r="S6" s="10">
        <v>7375</v>
      </c>
      <c r="T6" s="10">
        <v>8034</v>
      </c>
      <c r="U6" s="10">
        <v>8237</v>
      </c>
      <c r="V6" s="10">
        <v>9288</v>
      </c>
      <c r="W6" s="10">
        <v>10232</v>
      </c>
      <c r="X6" s="10">
        <v>11108</v>
      </c>
      <c r="Y6" s="10">
        <v>12659</v>
      </c>
      <c r="Z6" s="10">
        <v>13460</v>
      </c>
      <c r="AA6" s="10">
        <v>13595</v>
      </c>
      <c r="AB6" s="10">
        <v>13741</v>
      </c>
      <c r="AC6" s="10">
        <v>15241</v>
      </c>
      <c r="AD6" s="10">
        <v>14679</v>
      </c>
      <c r="AE6" s="10">
        <v>14983</v>
      </c>
      <c r="AF6" s="10">
        <v>14254</v>
      </c>
      <c r="AG6" s="10">
        <v>14668</v>
      </c>
      <c r="AH6" s="10">
        <v>15923</v>
      </c>
      <c r="AI6" s="10">
        <v>14465</v>
      </c>
      <c r="AJ6" s="10">
        <v>13869</v>
      </c>
      <c r="AK6" s="10">
        <v>15024</v>
      </c>
      <c r="AL6" s="10">
        <v>16278</v>
      </c>
      <c r="AM6" s="10">
        <v>16137</v>
      </c>
      <c r="AN6" s="10">
        <v>17807</v>
      </c>
      <c r="AO6" s="10">
        <v>19827</v>
      </c>
      <c r="AP6" s="10">
        <v>18760</v>
      </c>
      <c r="AQ6" s="10">
        <v>18906</v>
      </c>
      <c r="AR6" s="10">
        <v>19603</v>
      </c>
      <c r="AS6" s="10">
        <v>19499</v>
      </c>
      <c r="AT6" s="10">
        <v>20192</v>
      </c>
      <c r="AU6" s="10">
        <v>19591</v>
      </c>
      <c r="AV6" s="10">
        <v>19192</v>
      </c>
      <c r="AW6" s="10">
        <v>19291</v>
      </c>
      <c r="AX6" s="10">
        <v>18283</v>
      </c>
      <c r="AY6" s="10">
        <v>16234</v>
      </c>
      <c r="AZ6" s="10">
        <v>15888</v>
      </c>
      <c r="BA6" s="10">
        <v>15780</v>
      </c>
      <c r="BB6" s="10">
        <v>15885</v>
      </c>
      <c r="BC6" s="10">
        <v>16363</v>
      </c>
      <c r="BD6" s="10">
        <v>17255</v>
      </c>
      <c r="BE6" s="10">
        <v>18151</v>
      </c>
      <c r="BF6" s="10">
        <v>20851</v>
      </c>
      <c r="BG6" s="10">
        <v>23165</v>
      </c>
      <c r="BH6" s="10">
        <v>23169</v>
      </c>
      <c r="BI6" s="10">
        <v>23089</v>
      </c>
      <c r="BJ6" s="10">
        <v>23628</v>
      </c>
      <c r="BK6" s="10">
        <v>20510</v>
      </c>
      <c r="BL6" s="10">
        <v>22439</v>
      </c>
      <c r="BM6" s="10">
        <v>22389</v>
      </c>
      <c r="BN6" s="10">
        <v>22120</v>
      </c>
      <c r="BO6" s="10">
        <v>24920</v>
      </c>
      <c r="BP6" s="10">
        <v>25186</v>
      </c>
      <c r="BQ6" s="10">
        <v>25210</v>
      </c>
      <c r="BR6" s="10">
        <v>26184</v>
      </c>
      <c r="BS6" s="10">
        <v>25440</v>
      </c>
      <c r="BT6" s="10">
        <v>24051</v>
      </c>
      <c r="BU6" s="10">
        <v>25324</v>
      </c>
      <c r="BV6" s="10">
        <v>22854</v>
      </c>
      <c r="BW6" s="10">
        <v>22075</v>
      </c>
      <c r="BX6" s="10">
        <v>21910</v>
      </c>
      <c r="BY6" s="10">
        <v>20550</v>
      </c>
      <c r="BZ6" s="10">
        <v>20560</v>
      </c>
      <c r="CA6" s="10">
        <v>20428</v>
      </c>
      <c r="CB6" s="10">
        <v>20761</v>
      </c>
      <c r="CC6" s="10">
        <v>22428</v>
      </c>
      <c r="CD6" s="10">
        <v>20071</v>
      </c>
      <c r="CE6" s="10">
        <v>17854</v>
      </c>
      <c r="CF6" s="10">
        <v>17480</v>
      </c>
      <c r="CG6" s="10">
        <v>14786</v>
      </c>
      <c r="CH6" s="10">
        <v>15719</v>
      </c>
      <c r="CI6" s="10">
        <v>12993</v>
      </c>
      <c r="CJ6" s="10">
        <v>11217</v>
      </c>
      <c r="CK6" s="10">
        <v>12440</v>
      </c>
      <c r="CL6" s="10">
        <v>10056</v>
      </c>
      <c r="CM6" s="10">
        <v>10475</v>
      </c>
      <c r="CN6" s="10">
        <v>10836</v>
      </c>
      <c r="CO6" s="10">
        <v>9882</v>
      </c>
      <c r="CP6" s="10">
        <v>10338</v>
      </c>
      <c r="CQ6" s="10">
        <v>8176</v>
      </c>
      <c r="CR6" s="10">
        <v>7110</v>
      </c>
      <c r="CS6" s="10">
        <v>6855</v>
      </c>
      <c r="CT6" s="10">
        <v>6082</v>
      </c>
      <c r="CU6" s="10">
        <v>8222</v>
      </c>
      <c r="CV6" s="10">
        <v>6301</v>
      </c>
      <c r="CW6" s="10">
        <v>5043</v>
      </c>
      <c r="CX6" s="10">
        <v>4635</v>
      </c>
      <c r="CY6" s="10">
        <v>3983</v>
      </c>
      <c r="CZ6" s="10">
        <v>3484</v>
      </c>
      <c r="DA6" s="10">
        <v>2718</v>
      </c>
      <c r="DB6" s="10">
        <v>2431</v>
      </c>
      <c r="DC6" s="10">
        <v>2055</v>
      </c>
      <c r="DD6" s="10">
        <v>1447</v>
      </c>
      <c r="DE6" s="10">
        <v>1166</v>
      </c>
      <c r="DF6" s="10">
        <v>841</v>
      </c>
      <c r="DG6" s="10">
        <v>713</v>
      </c>
      <c r="DH6" s="10">
        <v>561</v>
      </c>
      <c r="DI6" s="10">
        <v>352</v>
      </c>
      <c r="DJ6" s="10">
        <v>228</v>
      </c>
      <c r="DK6" s="10">
        <v>151</v>
      </c>
      <c r="DL6" s="10">
        <v>98</v>
      </c>
      <c r="DM6" s="10">
        <v>181</v>
      </c>
      <c r="DN6" s="11">
        <v>18.8</v>
      </c>
      <c r="DO6" s="11">
        <v>18.899999999999999</v>
      </c>
      <c r="DP6" s="11">
        <v>18.899999999999999</v>
      </c>
      <c r="DQ6" s="11">
        <v>18.899999999999999</v>
      </c>
      <c r="DR6" s="11">
        <v>18.899999999999999</v>
      </c>
      <c r="DS6" s="11">
        <v>23.1</v>
      </c>
      <c r="DT6" s="11">
        <v>23.6</v>
      </c>
      <c r="DU6" s="12">
        <f>비용계산근거!J7</f>
        <v>5.2920000000000007</v>
      </c>
    </row>
    <row r="7" spans="1:125" ht="24" customHeight="1">
      <c r="A7" s="1" t="s">
        <v>130</v>
      </c>
      <c r="B7" s="13">
        <v>30</v>
      </c>
      <c r="C7" s="13">
        <v>6533925.2999999998</v>
      </c>
      <c r="D7" s="14">
        <v>172730</v>
      </c>
      <c r="E7" s="14">
        <v>2007</v>
      </c>
      <c r="F7" s="14">
        <v>21524</v>
      </c>
      <c r="G7" s="14">
        <v>1682</v>
      </c>
      <c r="H7" s="14">
        <v>37442</v>
      </c>
      <c r="I7" s="14">
        <v>235380</v>
      </c>
      <c r="J7" s="14">
        <v>237919</v>
      </c>
      <c r="K7" s="14">
        <v>238627</v>
      </c>
      <c r="L7" s="14">
        <v>240816</v>
      </c>
      <c r="M7" s="14">
        <v>258333</v>
      </c>
      <c r="N7" s="14">
        <v>189918</v>
      </c>
      <c r="O7" s="14">
        <v>147817</v>
      </c>
      <c r="P7" s="14">
        <v>598635</v>
      </c>
      <c r="Q7" s="14">
        <v>7226</v>
      </c>
      <c r="R7" s="14">
        <v>7336</v>
      </c>
      <c r="S7" s="14">
        <v>7880</v>
      </c>
      <c r="T7" s="14">
        <v>7897</v>
      </c>
      <c r="U7" s="14">
        <v>7915</v>
      </c>
      <c r="V7" s="14">
        <v>8759</v>
      </c>
      <c r="W7" s="14">
        <v>9434</v>
      </c>
      <c r="X7" s="14">
        <v>10584</v>
      </c>
      <c r="Y7" s="14">
        <v>11737</v>
      </c>
      <c r="Z7" s="14">
        <v>12745</v>
      </c>
      <c r="AA7" s="14">
        <v>12593</v>
      </c>
      <c r="AB7" s="14">
        <v>12822</v>
      </c>
      <c r="AC7" s="14">
        <v>13878</v>
      </c>
      <c r="AD7" s="14">
        <v>13866</v>
      </c>
      <c r="AE7" s="14">
        <v>13656</v>
      </c>
      <c r="AF7" s="14">
        <v>13036</v>
      </c>
      <c r="AG7" s="14">
        <v>13768</v>
      </c>
      <c r="AH7" s="14">
        <v>14763</v>
      </c>
      <c r="AI7" s="14">
        <v>13593</v>
      </c>
      <c r="AJ7" s="14">
        <v>13638</v>
      </c>
      <c r="AK7" s="14">
        <v>15324</v>
      </c>
      <c r="AL7" s="14">
        <v>16002</v>
      </c>
      <c r="AM7" s="14">
        <v>16673</v>
      </c>
      <c r="AN7" s="14">
        <v>18810</v>
      </c>
      <c r="AO7" s="14">
        <v>21086</v>
      </c>
      <c r="AP7" s="14">
        <v>20104</v>
      </c>
      <c r="AQ7" s="14">
        <v>20574</v>
      </c>
      <c r="AR7" s="14">
        <v>21346</v>
      </c>
      <c r="AS7" s="14">
        <v>21663</v>
      </c>
      <c r="AT7" s="14">
        <v>21888</v>
      </c>
      <c r="AU7" s="14">
        <v>21660</v>
      </c>
      <c r="AV7" s="14">
        <v>20936</v>
      </c>
      <c r="AW7" s="14">
        <v>21227</v>
      </c>
      <c r="AX7" s="14">
        <v>20418</v>
      </c>
      <c r="AY7" s="14">
        <v>18717</v>
      </c>
      <c r="AZ7" s="14">
        <v>17890</v>
      </c>
      <c r="BA7" s="14">
        <v>17600</v>
      </c>
      <c r="BB7" s="14">
        <v>17249</v>
      </c>
      <c r="BC7" s="14">
        <v>17386</v>
      </c>
      <c r="BD7" s="14">
        <v>17854</v>
      </c>
      <c r="BE7" s="14">
        <v>17838</v>
      </c>
      <c r="BF7" s="14">
        <v>20007</v>
      </c>
      <c r="BG7" s="14">
        <v>22111</v>
      </c>
      <c r="BH7" s="14">
        <v>22824</v>
      </c>
      <c r="BI7" s="14">
        <v>22536</v>
      </c>
      <c r="BJ7" s="14">
        <v>22354</v>
      </c>
      <c r="BK7" s="14">
        <v>20279</v>
      </c>
      <c r="BL7" s="14">
        <v>21686</v>
      </c>
      <c r="BM7" s="14">
        <v>21608</v>
      </c>
      <c r="BN7" s="14">
        <v>21867</v>
      </c>
      <c r="BO7" s="14">
        <v>24029</v>
      </c>
      <c r="BP7" s="14">
        <v>25401</v>
      </c>
      <c r="BQ7" s="14">
        <v>24783</v>
      </c>
      <c r="BR7" s="14">
        <v>26188</v>
      </c>
      <c r="BS7" s="14">
        <v>25190</v>
      </c>
      <c r="BT7" s="14">
        <v>26005</v>
      </c>
      <c r="BU7" s="14">
        <v>26005</v>
      </c>
      <c r="BV7" s="14">
        <v>23100</v>
      </c>
      <c r="BW7" s="14">
        <v>21138</v>
      </c>
      <c r="BX7" s="14">
        <v>21944</v>
      </c>
      <c r="BY7" s="14">
        <v>21597</v>
      </c>
      <c r="BZ7" s="14">
        <v>19504</v>
      </c>
      <c r="CA7" s="14">
        <v>22837</v>
      </c>
      <c r="CB7" s="14">
        <v>23991</v>
      </c>
      <c r="CC7" s="14">
        <v>23557</v>
      </c>
      <c r="CD7" s="14">
        <v>21426</v>
      </c>
      <c r="CE7" s="14">
        <v>18917</v>
      </c>
      <c r="CF7" s="14">
        <v>19274</v>
      </c>
      <c r="CG7" s="14">
        <v>17637</v>
      </c>
      <c r="CH7" s="14">
        <v>17720</v>
      </c>
      <c r="CI7" s="14">
        <v>15360</v>
      </c>
      <c r="CJ7" s="14">
        <v>12489</v>
      </c>
      <c r="CK7" s="14">
        <v>13342</v>
      </c>
      <c r="CL7" s="14">
        <v>9948</v>
      </c>
      <c r="CM7" s="14">
        <v>10765</v>
      </c>
      <c r="CN7" s="14">
        <v>10316</v>
      </c>
      <c r="CO7" s="14">
        <v>10134</v>
      </c>
      <c r="CP7" s="14">
        <v>9452</v>
      </c>
      <c r="CQ7" s="14">
        <v>7428</v>
      </c>
      <c r="CR7" s="14">
        <v>6691</v>
      </c>
      <c r="CS7" s="14">
        <v>6924</v>
      </c>
      <c r="CT7" s="14">
        <v>6586</v>
      </c>
      <c r="CU7" s="14">
        <v>7853</v>
      </c>
      <c r="CV7" s="14">
        <v>6090</v>
      </c>
      <c r="CW7" s="14">
        <v>4614</v>
      </c>
      <c r="CX7" s="14">
        <v>4996</v>
      </c>
      <c r="CY7" s="14">
        <v>4146</v>
      </c>
      <c r="CZ7" s="14">
        <v>3509</v>
      </c>
      <c r="DA7" s="14">
        <v>3001</v>
      </c>
      <c r="DB7" s="14">
        <v>2582</v>
      </c>
      <c r="DC7" s="14">
        <v>2018</v>
      </c>
      <c r="DD7" s="14">
        <v>1554</v>
      </c>
      <c r="DE7" s="14">
        <v>1261</v>
      </c>
      <c r="DF7" s="14">
        <v>896</v>
      </c>
      <c r="DG7" s="14">
        <v>704</v>
      </c>
      <c r="DH7" s="14">
        <v>516</v>
      </c>
      <c r="DI7" s="14">
        <v>381</v>
      </c>
      <c r="DJ7" s="14">
        <v>258</v>
      </c>
      <c r="DK7" s="14">
        <v>143</v>
      </c>
      <c r="DL7" s="14">
        <v>99</v>
      </c>
      <c r="DM7" s="14">
        <v>215</v>
      </c>
      <c r="DN7" s="15">
        <v>16.399999999999999</v>
      </c>
      <c r="DO7" s="15">
        <v>16.399999999999999</v>
      </c>
      <c r="DP7" s="15">
        <v>16.399999999999999</v>
      </c>
      <c r="DQ7" s="15">
        <v>16.399999999999999</v>
      </c>
      <c r="DR7" s="15">
        <v>16.399999999999999</v>
      </c>
      <c r="DS7" s="15">
        <v>19.3</v>
      </c>
      <c r="DT7" s="15">
        <v>20.3</v>
      </c>
      <c r="DU7" s="16">
        <f>비용계산근거!J8</f>
        <v>5.35</v>
      </c>
    </row>
    <row r="8" spans="1:125" ht="24" customHeight="1">
      <c r="A8" s="3" t="s">
        <v>131</v>
      </c>
      <c r="B8" s="9">
        <v>29.8</v>
      </c>
      <c r="C8" s="9">
        <v>5500135.7999999998</v>
      </c>
      <c r="D8" s="10">
        <v>102216</v>
      </c>
      <c r="E8" s="10">
        <v>1711</v>
      </c>
      <c r="F8" s="10">
        <v>14599</v>
      </c>
      <c r="G8" s="10">
        <v>409</v>
      </c>
      <c r="H8" s="10">
        <v>938</v>
      </c>
      <c r="I8" s="10">
        <v>119871</v>
      </c>
      <c r="J8" s="10">
        <v>120604</v>
      </c>
      <c r="K8" s="10">
        <v>120861</v>
      </c>
      <c r="L8" s="10">
        <v>122412</v>
      </c>
      <c r="M8" s="10">
        <v>130256</v>
      </c>
      <c r="N8" s="10">
        <v>96521</v>
      </c>
      <c r="O8" s="10">
        <v>73401</v>
      </c>
      <c r="P8" s="10">
        <v>509223</v>
      </c>
      <c r="Q8" s="10">
        <v>5182</v>
      </c>
      <c r="R8" s="10">
        <v>5009</v>
      </c>
      <c r="S8" s="10">
        <v>5404</v>
      </c>
      <c r="T8" s="10">
        <v>6060</v>
      </c>
      <c r="U8" s="10">
        <v>6431</v>
      </c>
      <c r="V8" s="10">
        <v>7252</v>
      </c>
      <c r="W8" s="10">
        <v>7864</v>
      </c>
      <c r="X8" s="10">
        <v>8764</v>
      </c>
      <c r="Y8" s="10">
        <v>10186</v>
      </c>
      <c r="Z8" s="10">
        <v>10945</v>
      </c>
      <c r="AA8" s="10">
        <v>10932</v>
      </c>
      <c r="AB8" s="10">
        <v>10802</v>
      </c>
      <c r="AC8" s="10">
        <v>11887</v>
      </c>
      <c r="AD8" s="10">
        <v>11291</v>
      </c>
      <c r="AE8" s="10">
        <v>11265</v>
      </c>
      <c r="AF8" s="10">
        <v>10701</v>
      </c>
      <c r="AG8" s="10">
        <v>11040</v>
      </c>
      <c r="AH8" s="10">
        <v>11716</v>
      </c>
      <c r="AI8" s="10">
        <v>10306</v>
      </c>
      <c r="AJ8" s="10">
        <v>9430</v>
      </c>
      <c r="AK8" s="10">
        <v>9594</v>
      </c>
      <c r="AL8" s="10">
        <v>9797</v>
      </c>
      <c r="AM8" s="10">
        <v>9238</v>
      </c>
      <c r="AN8" s="10">
        <v>10689</v>
      </c>
      <c r="AO8" s="10">
        <v>12039</v>
      </c>
      <c r="AP8" s="10">
        <v>11916</v>
      </c>
      <c r="AQ8" s="10">
        <v>12516</v>
      </c>
      <c r="AR8" s="10">
        <v>13242</v>
      </c>
      <c r="AS8" s="10">
        <v>13857</v>
      </c>
      <c r="AT8" s="10">
        <v>14269</v>
      </c>
      <c r="AU8" s="10">
        <v>14149</v>
      </c>
      <c r="AV8" s="10">
        <v>14091</v>
      </c>
      <c r="AW8" s="10">
        <v>14340</v>
      </c>
      <c r="AX8" s="10">
        <v>14314</v>
      </c>
      <c r="AY8" s="10">
        <v>13101</v>
      </c>
      <c r="AZ8" s="10">
        <v>13346</v>
      </c>
      <c r="BA8" s="10">
        <v>12951</v>
      </c>
      <c r="BB8" s="10">
        <v>12919</v>
      </c>
      <c r="BC8" s="10">
        <v>13349</v>
      </c>
      <c r="BD8" s="10">
        <v>13733</v>
      </c>
      <c r="BE8" s="10">
        <v>14428</v>
      </c>
      <c r="BF8" s="10">
        <v>16342</v>
      </c>
      <c r="BG8" s="10">
        <v>18375</v>
      </c>
      <c r="BH8" s="10">
        <v>18974</v>
      </c>
      <c r="BI8" s="10">
        <v>19182</v>
      </c>
      <c r="BJ8" s="10">
        <v>18743</v>
      </c>
      <c r="BK8" s="10">
        <v>16260</v>
      </c>
      <c r="BL8" s="10">
        <v>17318</v>
      </c>
      <c r="BM8" s="10">
        <v>16470</v>
      </c>
      <c r="BN8" s="10">
        <v>17096</v>
      </c>
      <c r="BO8" s="10">
        <v>18559</v>
      </c>
      <c r="BP8" s="10">
        <v>19299</v>
      </c>
      <c r="BQ8" s="10">
        <v>19488</v>
      </c>
      <c r="BR8" s="10">
        <v>20868</v>
      </c>
      <c r="BS8" s="10">
        <v>20604</v>
      </c>
      <c r="BT8" s="10">
        <v>21152</v>
      </c>
      <c r="BU8" s="10">
        <v>21732</v>
      </c>
      <c r="BV8" s="10">
        <v>20753</v>
      </c>
      <c r="BW8" s="10">
        <v>19840</v>
      </c>
      <c r="BX8" s="10">
        <v>20683</v>
      </c>
      <c r="BY8" s="10">
        <v>19320</v>
      </c>
      <c r="BZ8" s="10">
        <v>17888</v>
      </c>
      <c r="CA8" s="10">
        <v>19790</v>
      </c>
      <c r="CB8" s="10">
        <v>20514</v>
      </c>
      <c r="CC8" s="10">
        <v>19752</v>
      </c>
      <c r="CD8" s="10">
        <v>17945</v>
      </c>
      <c r="CE8" s="10">
        <v>16298</v>
      </c>
      <c r="CF8" s="10">
        <v>15596</v>
      </c>
      <c r="CG8" s="10">
        <v>14032</v>
      </c>
      <c r="CH8" s="10">
        <v>14070</v>
      </c>
      <c r="CI8" s="10">
        <v>11473</v>
      </c>
      <c r="CJ8" s="10">
        <v>10340</v>
      </c>
      <c r="CK8" s="10">
        <v>10256</v>
      </c>
      <c r="CL8" s="10">
        <v>7926</v>
      </c>
      <c r="CM8" s="10">
        <v>7697</v>
      </c>
      <c r="CN8" s="10">
        <v>7260</v>
      </c>
      <c r="CO8" s="10">
        <v>7168</v>
      </c>
      <c r="CP8" s="10">
        <v>6539</v>
      </c>
      <c r="CQ8" s="10">
        <v>4740</v>
      </c>
      <c r="CR8" s="10">
        <v>3911</v>
      </c>
      <c r="CS8" s="10">
        <v>4344</v>
      </c>
      <c r="CT8" s="10">
        <v>4261</v>
      </c>
      <c r="CU8" s="10">
        <v>4735</v>
      </c>
      <c r="CV8" s="10">
        <v>3303</v>
      </c>
      <c r="CW8" s="10">
        <v>2989</v>
      </c>
      <c r="CX8" s="10">
        <v>2690</v>
      </c>
      <c r="CY8" s="10">
        <v>2275</v>
      </c>
      <c r="CZ8" s="10">
        <v>1841</v>
      </c>
      <c r="DA8" s="10">
        <v>1553</v>
      </c>
      <c r="DB8" s="10">
        <v>1306</v>
      </c>
      <c r="DC8" s="10">
        <v>1094</v>
      </c>
      <c r="DD8" s="10">
        <v>840</v>
      </c>
      <c r="DE8" s="10">
        <v>639</v>
      </c>
      <c r="DF8" s="10">
        <v>468</v>
      </c>
      <c r="DG8" s="10">
        <v>311</v>
      </c>
      <c r="DH8" s="10">
        <v>263</v>
      </c>
      <c r="DI8" s="10">
        <v>168</v>
      </c>
      <c r="DJ8" s="10">
        <v>147</v>
      </c>
      <c r="DK8" s="10">
        <v>80</v>
      </c>
      <c r="DL8" s="10">
        <v>58</v>
      </c>
      <c r="DM8" s="10">
        <v>86</v>
      </c>
      <c r="DN8" s="11">
        <v>29.5</v>
      </c>
      <c r="DO8" s="11">
        <v>29.6</v>
      </c>
      <c r="DP8" s="11">
        <v>29.3</v>
      </c>
      <c r="DQ8" s="11">
        <v>29.7</v>
      </c>
      <c r="DR8" s="11">
        <v>29.6</v>
      </c>
      <c r="DS8" s="11">
        <v>34.5</v>
      </c>
      <c r="DT8" s="11">
        <v>35.799999999999997</v>
      </c>
      <c r="DU8" s="12">
        <f>비용계산근거!J9</f>
        <v>5.22</v>
      </c>
    </row>
    <row r="9" spans="1:125" ht="24" customHeight="1">
      <c r="A9" s="1" t="s">
        <v>132</v>
      </c>
      <c r="B9" s="13">
        <v>35</v>
      </c>
      <c r="C9" s="13">
        <v>2271589.7000000002</v>
      </c>
      <c r="D9" s="14">
        <v>31289</v>
      </c>
      <c r="E9" s="14">
        <v>540</v>
      </c>
      <c r="F9" s="14">
        <v>3938</v>
      </c>
      <c r="G9" s="14">
        <v>102</v>
      </c>
      <c r="H9" s="14">
        <v>97</v>
      </c>
      <c r="I9" s="14">
        <v>35965</v>
      </c>
      <c r="J9" s="14">
        <v>36712</v>
      </c>
      <c r="K9" s="14">
        <v>36811</v>
      </c>
      <c r="L9" s="14">
        <v>37363</v>
      </c>
      <c r="M9" s="14">
        <v>40097</v>
      </c>
      <c r="N9" s="14">
        <v>25494</v>
      </c>
      <c r="O9" s="14">
        <v>19548</v>
      </c>
      <c r="P9" s="14">
        <v>178405</v>
      </c>
      <c r="Q9" s="14">
        <v>2822</v>
      </c>
      <c r="R9" s="14">
        <v>2818</v>
      </c>
      <c r="S9" s="14">
        <v>3212</v>
      </c>
      <c r="T9" s="14">
        <v>3677</v>
      </c>
      <c r="U9" s="14">
        <v>3718</v>
      </c>
      <c r="V9" s="14">
        <v>4164</v>
      </c>
      <c r="W9" s="14">
        <v>4556</v>
      </c>
      <c r="X9" s="14">
        <v>4975</v>
      </c>
      <c r="Y9" s="14">
        <v>5524</v>
      </c>
      <c r="Z9" s="14">
        <v>5885</v>
      </c>
      <c r="AA9" s="14">
        <v>5616</v>
      </c>
      <c r="AB9" s="14">
        <v>5541</v>
      </c>
      <c r="AC9" s="14">
        <v>6032</v>
      </c>
      <c r="AD9" s="14">
        <v>5681</v>
      </c>
      <c r="AE9" s="14">
        <v>5644</v>
      </c>
      <c r="AF9" s="14">
        <v>5219</v>
      </c>
      <c r="AG9" s="14">
        <v>5305</v>
      </c>
      <c r="AH9" s="14">
        <v>5122</v>
      </c>
      <c r="AI9" s="14">
        <v>4530</v>
      </c>
      <c r="AJ9" s="14">
        <v>3849</v>
      </c>
      <c r="AK9" s="14">
        <v>3806</v>
      </c>
      <c r="AL9" s="14">
        <v>3628</v>
      </c>
      <c r="AM9" s="14">
        <v>3227</v>
      </c>
      <c r="AN9" s="14">
        <v>3264</v>
      </c>
      <c r="AO9" s="14">
        <v>3696</v>
      </c>
      <c r="AP9" s="14">
        <v>3506</v>
      </c>
      <c r="AQ9" s="14">
        <v>3632</v>
      </c>
      <c r="AR9" s="14">
        <v>3736</v>
      </c>
      <c r="AS9" s="14">
        <v>4072</v>
      </c>
      <c r="AT9" s="14">
        <v>4513</v>
      </c>
      <c r="AU9" s="14">
        <v>4988</v>
      </c>
      <c r="AV9" s="14">
        <v>5141</v>
      </c>
      <c r="AW9" s="14">
        <v>5828</v>
      </c>
      <c r="AX9" s="14">
        <v>5892</v>
      </c>
      <c r="AY9" s="14">
        <v>5755</v>
      </c>
      <c r="AZ9" s="14">
        <v>5872</v>
      </c>
      <c r="BA9" s="14">
        <v>6091</v>
      </c>
      <c r="BB9" s="14">
        <v>6206</v>
      </c>
      <c r="BC9" s="14">
        <v>6485</v>
      </c>
      <c r="BD9" s="14">
        <v>6564</v>
      </c>
      <c r="BE9" s="14">
        <v>6848</v>
      </c>
      <c r="BF9" s="14">
        <v>7615</v>
      </c>
      <c r="BG9" s="14">
        <v>8675</v>
      </c>
      <c r="BH9" s="14">
        <v>8656</v>
      </c>
      <c r="BI9" s="14">
        <v>8408</v>
      </c>
      <c r="BJ9" s="14">
        <v>8451</v>
      </c>
      <c r="BK9" s="14">
        <v>7046</v>
      </c>
      <c r="BL9" s="14">
        <v>7492</v>
      </c>
      <c r="BM9" s="14">
        <v>7015</v>
      </c>
      <c r="BN9" s="14">
        <v>6887</v>
      </c>
      <c r="BO9" s="14">
        <v>7079</v>
      </c>
      <c r="BP9" s="14">
        <v>6922</v>
      </c>
      <c r="BQ9" s="14">
        <v>6389</v>
      </c>
      <c r="BR9" s="14">
        <v>6543</v>
      </c>
      <c r="BS9" s="14">
        <v>5953</v>
      </c>
      <c r="BT9" s="14">
        <v>5574</v>
      </c>
      <c r="BU9" s="14">
        <v>5393</v>
      </c>
      <c r="BV9" s="14">
        <v>4686</v>
      </c>
      <c r="BW9" s="14">
        <v>4251</v>
      </c>
      <c r="BX9" s="14">
        <v>4340</v>
      </c>
      <c r="BY9" s="14">
        <v>4360</v>
      </c>
      <c r="BZ9" s="14">
        <v>3782</v>
      </c>
      <c r="CA9" s="14">
        <v>4347</v>
      </c>
      <c r="CB9" s="14">
        <v>4497</v>
      </c>
      <c r="CC9" s="14">
        <v>4383</v>
      </c>
      <c r="CD9" s="14">
        <v>3892</v>
      </c>
      <c r="CE9" s="14">
        <v>3598</v>
      </c>
      <c r="CF9" s="14">
        <v>3517</v>
      </c>
      <c r="CG9" s="14">
        <v>3165</v>
      </c>
      <c r="CH9" s="14">
        <v>3243</v>
      </c>
      <c r="CI9" s="14">
        <v>2726</v>
      </c>
      <c r="CJ9" s="14">
        <v>2123</v>
      </c>
      <c r="CK9" s="14">
        <v>2377</v>
      </c>
      <c r="CL9" s="14">
        <v>1619</v>
      </c>
      <c r="CM9" s="14">
        <v>1851</v>
      </c>
      <c r="CN9" s="14">
        <v>1802</v>
      </c>
      <c r="CO9" s="14">
        <v>1577</v>
      </c>
      <c r="CP9" s="14">
        <v>1512</v>
      </c>
      <c r="CQ9" s="14">
        <v>1179</v>
      </c>
      <c r="CR9" s="14">
        <v>1016</v>
      </c>
      <c r="CS9" s="14">
        <v>1088</v>
      </c>
      <c r="CT9" s="14">
        <v>1051</v>
      </c>
      <c r="CU9" s="14">
        <v>1255</v>
      </c>
      <c r="CV9" s="14">
        <v>1003</v>
      </c>
      <c r="CW9" s="14">
        <v>814</v>
      </c>
      <c r="CX9" s="14">
        <v>818</v>
      </c>
      <c r="CY9" s="14">
        <v>701</v>
      </c>
      <c r="CZ9" s="14">
        <v>605</v>
      </c>
      <c r="DA9" s="14">
        <v>580</v>
      </c>
      <c r="DB9" s="14">
        <v>497</v>
      </c>
      <c r="DC9" s="14">
        <v>423</v>
      </c>
      <c r="DD9" s="14">
        <v>324</v>
      </c>
      <c r="DE9" s="14">
        <v>256</v>
      </c>
      <c r="DF9" s="14">
        <v>171</v>
      </c>
      <c r="DG9" s="14">
        <v>156</v>
      </c>
      <c r="DH9" s="14">
        <v>120</v>
      </c>
      <c r="DI9" s="14">
        <v>88</v>
      </c>
      <c r="DJ9" s="14">
        <v>58</v>
      </c>
      <c r="DK9" s="14">
        <v>39</v>
      </c>
      <c r="DL9" s="14">
        <v>18</v>
      </c>
      <c r="DM9" s="14">
        <v>39</v>
      </c>
      <c r="DN9" s="15">
        <v>17</v>
      </c>
      <c r="DO9" s="15">
        <v>17.100000000000001</v>
      </c>
      <c r="DP9" s="15">
        <v>17</v>
      </c>
      <c r="DQ9" s="15">
        <v>17.399999999999999</v>
      </c>
      <c r="DR9" s="15">
        <v>17.3</v>
      </c>
      <c r="DS9" s="15">
        <v>18.8</v>
      </c>
      <c r="DT9" s="15">
        <v>18.8</v>
      </c>
      <c r="DU9" s="16">
        <f>비용계산근거!J10</f>
        <v>5.2929999999999993</v>
      </c>
    </row>
    <row r="10" spans="1:125" ht="24" customHeight="1">
      <c r="A10" s="3" t="s">
        <v>133</v>
      </c>
      <c r="B10" s="9">
        <v>31.4</v>
      </c>
      <c r="C10" s="9">
        <v>62576934.399999999</v>
      </c>
      <c r="D10" s="10">
        <v>2154990</v>
      </c>
      <c r="E10" s="10">
        <v>25103</v>
      </c>
      <c r="F10" s="10">
        <v>205446</v>
      </c>
      <c r="G10" s="10">
        <v>45458</v>
      </c>
      <c r="H10" s="10">
        <v>271048</v>
      </c>
      <c r="I10" s="10">
        <v>2702028</v>
      </c>
      <c r="J10" s="10">
        <v>2726475</v>
      </c>
      <c r="K10" s="10">
        <v>2716653</v>
      </c>
      <c r="L10" s="10">
        <v>2745525</v>
      </c>
      <c r="M10" s="10">
        <v>2852382</v>
      </c>
      <c r="N10" s="10">
        <v>2110831</v>
      </c>
      <c r="O10" s="10">
        <v>1598619</v>
      </c>
      <c r="P10" s="10">
        <v>5491399</v>
      </c>
      <c r="Q10" s="10">
        <v>71451</v>
      </c>
      <c r="R10" s="10">
        <v>71843</v>
      </c>
      <c r="S10" s="10">
        <v>78718</v>
      </c>
      <c r="T10" s="10">
        <v>81246</v>
      </c>
      <c r="U10" s="10">
        <v>84418</v>
      </c>
      <c r="V10" s="10">
        <v>92883</v>
      </c>
      <c r="W10" s="10">
        <v>99497</v>
      </c>
      <c r="X10" s="10">
        <v>107559</v>
      </c>
      <c r="Y10" s="10">
        <v>121792</v>
      </c>
      <c r="Z10" s="10">
        <v>130581</v>
      </c>
      <c r="AA10" s="10">
        <v>128699</v>
      </c>
      <c r="AB10" s="10">
        <v>127591</v>
      </c>
      <c r="AC10" s="10">
        <v>141193</v>
      </c>
      <c r="AD10" s="10">
        <v>136635</v>
      </c>
      <c r="AE10" s="10">
        <v>135850</v>
      </c>
      <c r="AF10" s="10">
        <v>128052</v>
      </c>
      <c r="AG10" s="10">
        <v>133625</v>
      </c>
      <c r="AH10" s="10">
        <v>139701</v>
      </c>
      <c r="AI10" s="10">
        <v>126815</v>
      </c>
      <c r="AJ10" s="10">
        <v>120146</v>
      </c>
      <c r="AK10" s="10">
        <v>129435</v>
      </c>
      <c r="AL10" s="10">
        <v>133048</v>
      </c>
      <c r="AM10" s="10">
        <v>132441</v>
      </c>
      <c r="AN10" s="10">
        <v>149635</v>
      </c>
      <c r="AO10" s="10">
        <v>174133</v>
      </c>
      <c r="AP10" s="10">
        <v>169932</v>
      </c>
      <c r="AQ10" s="10">
        <v>175139</v>
      </c>
      <c r="AR10" s="10">
        <v>182630</v>
      </c>
      <c r="AS10" s="10">
        <v>186199</v>
      </c>
      <c r="AT10" s="10">
        <v>194956</v>
      </c>
      <c r="AU10" s="10">
        <v>198025</v>
      </c>
      <c r="AV10" s="10">
        <v>198993</v>
      </c>
      <c r="AW10" s="10">
        <v>205944</v>
      </c>
      <c r="AX10" s="10">
        <v>201394</v>
      </c>
      <c r="AY10" s="10">
        <v>184486</v>
      </c>
      <c r="AZ10" s="10">
        <v>182593</v>
      </c>
      <c r="BA10" s="10">
        <v>183088</v>
      </c>
      <c r="BB10" s="10">
        <v>179620</v>
      </c>
      <c r="BC10" s="10">
        <v>182458</v>
      </c>
      <c r="BD10" s="10">
        <v>190782</v>
      </c>
      <c r="BE10" s="10">
        <v>191385</v>
      </c>
      <c r="BF10" s="10">
        <v>215914</v>
      </c>
      <c r="BG10" s="10">
        <v>236407</v>
      </c>
      <c r="BH10" s="10">
        <v>241724</v>
      </c>
      <c r="BI10" s="10">
        <v>238947</v>
      </c>
      <c r="BJ10" s="10">
        <v>234863</v>
      </c>
      <c r="BK10" s="10">
        <v>203560</v>
      </c>
      <c r="BL10" s="10">
        <v>218966</v>
      </c>
      <c r="BM10" s="10">
        <v>213647</v>
      </c>
      <c r="BN10" s="10">
        <v>219461</v>
      </c>
      <c r="BO10" s="10">
        <v>235574</v>
      </c>
      <c r="BP10" s="10">
        <v>244057</v>
      </c>
      <c r="BQ10" s="10">
        <v>244055</v>
      </c>
      <c r="BR10" s="10">
        <v>254958</v>
      </c>
      <c r="BS10" s="10">
        <v>246202</v>
      </c>
      <c r="BT10" s="10">
        <v>244957</v>
      </c>
      <c r="BU10" s="10">
        <v>240951</v>
      </c>
      <c r="BV10" s="10">
        <v>220624</v>
      </c>
      <c r="BW10" s="10">
        <v>208826</v>
      </c>
      <c r="BX10" s="10">
        <v>217403</v>
      </c>
      <c r="BY10" s="10">
        <v>212953</v>
      </c>
      <c r="BZ10" s="10">
        <v>197126</v>
      </c>
      <c r="CA10" s="10">
        <v>215112</v>
      </c>
      <c r="CB10" s="10">
        <v>217543</v>
      </c>
      <c r="CC10" s="10">
        <v>216641</v>
      </c>
      <c r="CD10" s="10">
        <v>195228</v>
      </c>
      <c r="CE10" s="10">
        <v>179841</v>
      </c>
      <c r="CF10" s="10">
        <v>170867</v>
      </c>
      <c r="CG10" s="10">
        <v>151725</v>
      </c>
      <c r="CH10" s="10">
        <v>153974</v>
      </c>
      <c r="CI10" s="10">
        <v>128758</v>
      </c>
      <c r="CJ10" s="10">
        <v>109283</v>
      </c>
      <c r="CK10" s="10">
        <v>119626</v>
      </c>
      <c r="CL10" s="10">
        <v>77391</v>
      </c>
      <c r="CM10" s="10">
        <v>85732</v>
      </c>
      <c r="CN10" s="10">
        <v>85344</v>
      </c>
      <c r="CO10" s="10">
        <v>84589</v>
      </c>
      <c r="CP10" s="10">
        <v>85509</v>
      </c>
      <c r="CQ10" s="10">
        <v>69075</v>
      </c>
      <c r="CR10" s="10">
        <v>59807</v>
      </c>
      <c r="CS10" s="10">
        <v>59607</v>
      </c>
      <c r="CT10" s="10">
        <v>57472</v>
      </c>
      <c r="CU10" s="10">
        <v>66156</v>
      </c>
      <c r="CV10" s="10">
        <v>52937</v>
      </c>
      <c r="CW10" s="10">
        <v>44178</v>
      </c>
      <c r="CX10" s="10">
        <v>42521</v>
      </c>
      <c r="CY10" s="10">
        <v>36369</v>
      </c>
      <c r="CZ10" s="10">
        <v>31484</v>
      </c>
      <c r="DA10" s="10">
        <v>26855</v>
      </c>
      <c r="DB10" s="10">
        <v>23095</v>
      </c>
      <c r="DC10" s="10">
        <v>18160</v>
      </c>
      <c r="DD10" s="10">
        <v>13748</v>
      </c>
      <c r="DE10" s="10">
        <v>11094</v>
      </c>
      <c r="DF10" s="10">
        <v>7779</v>
      </c>
      <c r="DG10" s="10">
        <v>6255</v>
      </c>
      <c r="DH10" s="10">
        <v>4836</v>
      </c>
      <c r="DI10" s="10">
        <v>3552</v>
      </c>
      <c r="DJ10" s="10">
        <v>2414</v>
      </c>
      <c r="DK10" s="10">
        <v>1429</v>
      </c>
      <c r="DL10" s="10">
        <v>966</v>
      </c>
      <c r="DM10" s="10">
        <v>1947</v>
      </c>
      <c r="DN10" s="11">
        <v>21.2</v>
      </c>
      <c r="DO10" s="11">
        <v>20.7</v>
      </c>
      <c r="DP10" s="11">
        <v>20.5</v>
      </c>
      <c r="DQ10" s="11">
        <v>20.7</v>
      </c>
      <c r="DR10" s="11">
        <v>20.8</v>
      </c>
      <c r="DS10" s="11">
        <v>24.6</v>
      </c>
      <c r="DT10" s="11">
        <v>26.2</v>
      </c>
      <c r="DU10" s="12">
        <f>비용계산근거!J11</f>
        <v>5.3580000000000005</v>
      </c>
    </row>
    <row r="11" spans="1:125" ht="24" customHeight="1">
      <c r="A11" s="1" t="s">
        <v>134</v>
      </c>
      <c r="B11" s="13">
        <v>32.200000000000003</v>
      </c>
      <c r="C11" s="13">
        <v>7765362</v>
      </c>
      <c r="D11" s="14">
        <v>69137</v>
      </c>
      <c r="E11" s="14">
        <v>1289</v>
      </c>
      <c r="F11" s="14">
        <v>12657</v>
      </c>
      <c r="G11" s="14">
        <v>545</v>
      </c>
      <c r="H11" s="14">
        <v>1809</v>
      </c>
      <c r="I11" s="14">
        <v>84576</v>
      </c>
      <c r="J11" s="14">
        <v>82605</v>
      </c>
      <c r="K11" s="14">
        <v>82549</v>
      </c>
      <c r="L11" s="14">
        <v>84142</v>
      </c>
      <c r="M11" s="14">
        <v>89607</v>
      </c>
      <c r="N11" s="14">
        <v>62794</v>
      </c>
      <c r="O11" s="14">
        <v>57001</v>
      </c>
      <c r="P11" s="14">
        <v>664774</v>
      </c>
      <c r="Q11" s="14">
        <v>6521</v>
      </c>
      <c r="R11" s="14">
        <v>6800</v>
      </c>
      <c r="S11" s="14">
        <v>7360</v>
      </c>
      <c r="T11" s="14">
        <v>7535</v>
      </c>
      <c r="U11" s="14">
        <v>8016</v>
      </c>
      <c r="V11" s="14">
        <v>8670</v>
      </c>
      <c r="W11" s="14">
        <v>8841</v>
      </c>
      <c r="X11" s="14">
        <v>9599</v>
      </c>
      <c r="Y11" s="14">
        <v>10834</v>
      </c>
      <c r="Z11" s="14">
        <v>11593</v>
      </c>
      <c r="AA11" s="14">
        <v>11470</v>
      </c>
      <c r="AB11" s="14">
        <v>11675</v>
      </c>
      <c r="AC11" s="14">
        <v>13171</v>
      </c>
      <c r="AD11" s="14">
        <v>12938</v>
      </c>
      <c r="AE11" s="14">
        <v>12972</v>
      </c>
      <c r="AF11" s="14">
        <v>12410</v>
      </c>
      <c r="AG11" s="14">
        <v>12877</v>
      </c>
      <c r="AH11" s="14">
        <v>14041</v>
      </c>
      <c r="AI11" s="14">
        <v>12559</v>
      </c>
      <c r="AJ11" s="14">
        <v>12524</v>
      </c>
      <c r="AK11" s="14">
        <v>13528</v>
      </c>
      <c r="AL11" s="14">
        <v>13953</v>
      </c>
      <c r="AM11" s="14">
        <v>14335</v>
      </c>
      <c r="AN11" s="14">
        <v>15618</v>
      </c>
      <c r="AO11" s="14">
        <v>17083</v>
      </c>
      <c r="AP11" s="14">
        <v>15794</v>
      </c>
      <c r="AQ11" s="14">
        <v>16167</v>
      </c>
      <c r="AR11" s="14">
        <v>16400</v>
      </c>
      <c r="AS11" s="14">
        <v>16466</v>
      </c>
      <c r="AT11" s="14">
        <v>16866</v>
      </c>
      <c r="AU11" s="14">
        <v>16901</v>
      </c>
      <c r="AV11" s="14">
        <v>16779</v>
      </c>
      <c r="AW11" s="14">
        <v>17064</v>
      </c>
      <c r="AX11" s="14">
        <v>16400</v>
      </c>
      <c r="AY11" s="14">
        <v>15203</v>
      </c>
      <c r="AZ11" s="14">
        <v>14940</v>
      </c>
      <c r="BA11" s="14">
        <v>15160</v>
      </c>
      <c r="BB11" s="14">
        <v>14877</v>
      </c>
      <c r="BC11" s="14">
        <v>15105</v>
      </c>
      <c r="BD11" s="14">
        <v>16095</v>
      </c>
      <c r="BE11" s="14">
        <v>16074</v>
      </c>
      <c r="BF11" s="14">
        <v>18647</v>
      </c>
      <c r="BG11" s="14">
        <v>20778</v>
      </c>
      <c r="BH11" s="14">
        <v>20995</v>
      </c>
      <c r="BI11" s="14">
        <v>21207</v>
      </c>
      <c r="BJ11" s="14">
        <v>20865</v>
      </c>
      <c r="BK11" s="14">
        <v>19523</v>
      </c>
      <c r="BL11" s="14">
        <v>20432</v>
      </c>
      <c r="BM11" s="14">
        <v>20498</v>
      </c>
      <c r="BN11" s="14">
        <v>21670</v>
      </c>
      <c r="BO11" s="14">
        <v>24051</v>
      </c>
      <c r="BP11" s="14">
        <v>25513</v>
      </c>
      <c r="BQ11" s="14">
        <v>25138</v>
      </c>
      <c r="BR11" s="14">
        <v>26498</v>
      </c>
      <c r="BS11" s="14">
        <v>26462</v>
      </c>
      <c r="BT11" s="14">
        <v>27490</v>
      </c>
      <c r="BU11" s="14">
        <v>28092</v>
      </c>
      <c r="BV11" s="14">
        <v>25919</v>
      </c>
      <c r="BW11" s="14">
        <v>25889</v>
      </c>
      <c r="BX11" s="14">
        <v>25795</v>
      </c>
      <c r="BY11" s="14">
        <v>26086</v>
      </c>
      <c r="BZ11" s="14">
        <v>25844</v>
      </c>
      <c r="CA11" s="14">
        <v>29422</v>
      </c>
      <c r="CB11" s="14">
        <v>31435</v>
      </c>
      <c r="CC11" s="14">
        <v>31333</v>
      </c>
      <c r="CD11" s="14">
        <v>29772</v>
      </c>
      <c r="CE11" s="14">
        <v>28005</v>
      </c>
      <c r="CF11" s="14">
        <v>28056</v>
      </c>
      <c r="CG11" s="14">
        <v>24577</v>
      </c>
      <c r="CH11" s="14">
        <v>24604</v>
      </c>
      <c r="CI11" s="14">
        <v>21661</v>
      </c>
      <c r="CJ11" s="14">
        <v>17892</v>
      </c>
      <c r="CK11" s="14">
        <v>21399</v>
      </c>
      <c r="CL11" s="14">
        <v>11894</v>
      </c>
      <c r="CM11" s="14">
        <v>12781</v>
      </c>
      <c r="CN11" s="14">
        <v>12845</v>
      </c>
      <c r="CO11" s="14">
        <v>13622</v>
      </c>
      <c r="CP11" s="14">
        <v>14063</v>
      </c>
      <c r="CQ11" s="14">
        <v>11808</v>
      </c>
      <c r="CR11" s="14">
        <v>11587</v>
      </c>
      <c r="CS11" s="14">
        <v>11424</v>
      </c>
      <c r="CT11" s="14">
        <v>11023</v>
      </c>
      <c r="CU11" s="14">
        <v>12282</v>
      </c>
      <c r="CV11" s="14">
        <v>10487</v>
      </c>
      <c r="CW11" s="14">
        <v>9204</v>
      </c>
      <c r="CX11" s="14">
        <v>8619</v>
      </c>
      <c r="CY11" s="14">
        <v>7537</v>
      </c>
      <c r="CZ11" s="14">
        <v>6130</v>
      </c>
      <c r="DA11" s="14">
        <v>5254</v>
      </c>
      <c r="DB11" s="14">
        <v>4398</v>
      </c>
      <c r="DC11" s="14">
        <v>3437</v>
      </c>
      <c r="DD11" s="14">
        <v>2622</v>
      </c>
      <c r="DE11" s="14">
        <v>2045</v>
      </c>
      <c r="DF11" s="14">
        <v>1506</v>
      </c>
      <c r="DG11" s="14">
        <v>1278</v>
      </c>
      <c r="DH11" s="14">
        <v>984</v>
      </c>
      <c r="DI11" s="14">
        <v>728</v>
      </c>
      <c r="DJ11" s="14">
        <v>494</v>
      </c>
      <c r="DK11" s="14">
        <v>314</v>
      </c>
      <c r="DL11" s="14">
        <v>217</v>
      </c>
      <c r="DM11" s="14">
        <v>421</v>
      </c>
      <c r="DN11" s="15">
        <v>96.5</v>
      </c>
      <c r="DO11" s="15">
        <v>98.1</v>
      </c>
      <c r="DP11" s="15">
        <v>96.6</v>
      </c>
      <c r="DQ11" s="15">
        <v>99.3</v>
      </c>
      <c r="DR11" s="15">
        <v>96.4</v>
      </c>
      <c r="DS11" s="15">
        <v>101.9</v>
      </c>
      <c r="DT11" s="15">
        <v>98.2</v>
      </c>
      <c r="DU11" s="16">
        <f>비용계산근거!J12</f>
        <v>5.335</v>
      </c>
    </row>
    <row r="12" spans="1:125" ht="24" customHeight="1">
      <c r="A12" s="3" t="s">
        <v>135</v>
      </c>
      <c r="B12" s="9">
        <v>32.4</v>
      </c>
      <c r="C12" s="9">
        <v>8601448.0999999996</v>
      </c>
      <c r="D12" s="10">
        <v>83924</v>
      </c>
      <c r="E12" s="10">
        <v>998</v>
      </c>
      <c r="F12" s="10">
        <v>14530</v>
      </c>
      <c r="G12" s="10">
        <v>282</v>
      </c>
      <c r="H12" s="10">
        <v>104</v>
      </c>
      <c r="I12" s="10">
        <v>99819</v>
      </c>
      <c r="J12" s="10">
        <v>97977</v>
      </c>
      <c r="K12" s="10">
        <v>97619</v>
      </c>
      <c r="L12" s="10">
        <v>99568</v>
      </c>
      <c r="M12" s="10">
        <v>107264</v>
      </c>
      <c r="N12" s="10">
        <v>75450</v>
      </c>
      <c r="O12" s="10">
        <v>60382</v>
      </c>
      <c r="P12" s="10">
        <v>732330</v>
      </c>
      <c r="Q12" s="10">
        <v>7508</v>
      </c>
      <c r="R12" s="10">
        <v>7706</v>
      </c>
      <c r="S12" s="10">
        <v>7728</v>
      </c>
      <c r="T12" s="10">
        <v>8418</v>
      </c>
      <c r="U12" s="10">
        <v>8750</v>
      </c>
      <c r="V12" s="10">
        <v>9396</v>
      </c>
      <c r="W12" s="10">
        <v>10676</v>
      </c>
      <c r="X12" s="10">
        <v>11375</v>
      </c>
      <c r="Y12" s="10">
        <v>12770</v>
      </c>
      <c r="Z12" s="10">
        <v>13510</v>
      </c>
      <c r="AA12" s="10">
        <v>13360</v>
      </c>
      <c r="AB12" s="10">
        <v>13689</v>
      </c>
      <c r="AC12" s="10">
        <v>15045</v>
      </c>
      <c r="AD12" s="10">
        <v>14815</v>
      </c>
      <c r="AE12" s="10">
        <v>14888</v>
      </c>
      <c r="AF12" s="10">
        <v>14032</v>
      </c>
      <c r="AG12" s="10">
        <v>14491</v>
      </c>
      <c r="AH12" s="10">
        <v>15454</v>
      </c>
      <c r="AI12" s="10">
        <v>13802</v>
      </c>
      <c r="AJ12" s="10">
        <v>13420</v>
      </c>
      <c r="AK12" s="10">
        <v>14491</v>
      </c>
      <c r="AL12" s="10">
        <v>14729</v>
      </c>
      <c r="AM12" s="10">
        <v>14984</v>
      </c>
      <c r="AN12" s="10">
        <v>16378</v>
      </c>
      <c r="AO12" s="10">
        <v>17971</v>
      </c>
      <c r="AP12" s="10">
        <v>17451</v>
      </c>
      <c r="AQ12" s="10">
        <v>18090</v>
      </c>
      <c r="AR12" s="10">
        <v>19281</v>
      </c>
      <c r="AS12" s="10">
        <v>19795</v>
      </c>
      <c r="AT12" s="10">
        <v>20576</v>
      </c>
      <c r="AU12" s="10">
        <v>20667</v>
      </c>
      <c r="AV12" s="10">
        <v>20788</v>
      </c>
      <c r="AW12" s="10">
        <v>20479</v>
      </c>
      <c r="AX12" s="10">
        <v>19492</v>
      </c>
      <c r="AY12" s="10">
        <v>17997</v>
      </c>
      <c r="AZ12" s="10">
        <v>17499</v>
      </c>
      <c r="BA12" s="10">
        <v>17742</v>
      </c>
      <c r="BB12" s="10">
        <v>17845</v>
      </c>
      <c r="BC12" s="10">
        <v>18148</v>
      </c>
      <c r="BD12" s="10">
        <v>18617</v>
      </c>
      <c r="BE12" s="10">
        <v>19418</v>
      </c>
      <c r="BF12" s="10">
        <v>21319</v>
      </c>
      <c r="BG12" s="10">
        <v>24023</v>
      </c>
      <c r="BH12" s="10">
        <v>23578</v>
      </c>
      <c r="BI12" s="10">
        <v>23679</v>
      </c>
      <c r="BJ12" s="10">
        <v>23634</v>
      </c>
      <c r="BK12" s="10">
        <v>20851</v>
      </c>
      <c r="BL12" s="10">
        <v>22667</v>
      </c>
      <c r="BM12" s="10">
        <v>22587</v>
      </c>
      <c r="BN12" s="10">
        <v>23268</v>
      </c>
      <c r="BO12" s="10">
        <v>25802</v>
      </c>
      <c r="BP12" s="10">
        <v>27093</v>
      </c>
      <c r="BQ12" s="10">
        <v>25687</v>
      </c>
      <c r="BR12" s="10">
        <v>27603</v>
      </c>
      <c r="BS12" s="10">
        <v>27090</v>
      </c>
      <c r="BT12" s="10">
        <v>29454</v>
      </c>
      <c r="BU12" s="10">
        <v>29363</v>
      </c>
      <c r="BV12" s="10">
        <v>27441</v>
      </c>
      <c r="BW12" s="10">
        <v>26372</v>
      </c>
      <c r="BX12" s="10">
        <v>27536</v>
      </c>
      <c r="BY12" s="10">
        <v>25994</v>
      </c>
      <c r="BZ12" s="10">
        <v>23828</v>
      </c>
      <c r="CA12" s="10">
        <v>29250</v>
      </c>
      <c r="CB12" s="10">
        <v>31518</v>
      </c>
      <c r="CC12" s="10">
        <v>29082</v>
      </c>
      <c r="CD12" s="10">
        <v>27333</v>
      </c>
      <c r="CE12" s="10">
        <v>25594</v>
      </c>
      <c r="CF12" s="10">
        <v>25923</v>
      </c>
      <c r="CG12" s="10">
        <v>23035</v>
      </c>
      <c r="CH12" s="10">
        <v>22528</v>
      </c>
      <c r="CI12" s="10">
        <v>19459</v>
      </c>
      <c r="CJ12" s="10">
        <v>16731</v>
      </c>
      <c r="CK12" s="10">
        <v>18753</v>
      </c>
      <c r="CL12" s="10">
        <v>12236</v>
      </c>
      <c r="CM12" s="10">
        <v>12413</v>
      </c>
      <c r="CN12" s="10">
        <v>12565</v>
      </c>
      <c r="CO12" s="10">
        <v>12559</v>
      </c>
      <c r="CP12" s="10">
        <v>12444</v>
      </c>
      <c r="CQ12" s="10">
        <v>9676</v>
      </c>
      <c r="CR12" s="10">
        <v>9159</v>
      </c>
      <c r="CS12" s="10">
        <v>9500</v>
      </c>
      <c r="CT12" s="10">
        <v>9446</v>
      </c>
      <c r="CU12" s="10">
        <v>11596</v>
      </c>
      <c r="CV12" s="10">
        <v>8942</v>
      </c>
      <c r="CW12" s="10">
        <v>7376</v>
      </c>
      <c r="CX12" s="10">
        <v>7767</v>
      </c>
      <c r="CY12" s="10">
        <v>6473</v>
      </c>
      <c r="CZ12" s="10">
        <v>5705</v>
      </c>
      <c r="DA12" s="10">
        <v>4956</v>
      </c>
      <c r="DB12" s="10">
        <v>4356</v>
      </c>
      <c r="DC12" s="10">
        <v>3361</v>
      </c>
      <c r="DD12" s="10">
        <v>2545</v>
      </c>
      <c r="DE12" s="10">
        <v>1939</v>
      </c>
      <c r="DF12" s="10">
        <v>1326</v>
      </c>
      <c r="DG12" s="10">
        <v>1091</v>
      </c>
      <c r="DH12" s="10">
        <v>814</v>
      </c>
      <c r="DI12" s="10">
        <v>543</v>
      </c>
      <c r="DJ12" s="10">
        <v>366</v>
      </c>
      <c r="DK12" s="10">
        <v>230</v>
      </c>
      <c r="DL12" s="10">
        <v>163</v>
      </c>
      <c r="DM12" s="10">
        <v>284</v>
      </c>
      <c r="DN12" s="11">
        <v>90.6</v>
      </c>
      <c r="DO12" s="11">
        <v>87.1</v>
      </c>
      <c r="DP12" s="11">
        <v>88.6</v>
      </c>
      <c r="DQ12" s="11">
        <v>88</v>
      </c>
      <c r="DR12" s="11">
        <v>88.3</v>
      </c>
      <c r="DS12" s="11">
        <v>88.5</v>
      </c>
      <c r="DT12" s="11">
        <v>90.1</v>
      </c>
      <c r="DU12" s="12">
        <f>비용계산근거!J13</f>
        <v>5.2819999999999991</v>
      </c>
    </row>
    <row r="13" spans="1:125" ht="24" customHeight="1">
      <c r="A13" s="1" t="s">
        <v>136</v>
      </c>
      <c r="B13" s="13">
        <v>32.700000000000003</v>
      </c>
      <c r="C13" s="13">
        <v>11700371.300000001</v>
      </c>
      <c r="D13" s="14">
        <v>106821</v>
      </c>
      <c r="E13" s="14">
        <v>2765</v>
      </c>
      <c r="F13" s="14">
        <v>29056</v>
      </c>
      <c r="G13" s="14">
        <v>7782</v>
      </c>
      <c r="H13" s="14">
        <v>26403</v>
      </c>
      <c r="I13" s="14">
        <v>172809</v>
      </c>
      <c r="J13" s="14">
        <v>169788</v>
      </c>
      <c r="K13" s="14">
        <v>168704</v>
      </c>
      <c r="L13" s="14">
        <v>173518</v>
      </c>
      <c r="M13" s="14">
        <v>186445</v>
      </c>
      <c r="N13" s="14">
        <v>139696</v>
      </c>
      <c r="O13" s="14">
        <v>112200</v>
      </c>
      <c r="P13" s="14">
        <v>976225</v>
      </c>
      <c r="Q13" s="14">
        <v>9740</v>
      </c>
      <c r="R13" s="14">
        <v>9699</v>
      </c>
      <c r="S13" s="14">
        <v>10727</v>
      </c>
      <c r="T13" s="14">
        <v>11467</v>
      </c>
      <c r="U13" s="14">
        <v>12377</v>
      </c>
      <c r="V13" s="14">
        <v>13550</v>
      </c>
      <c r="W13" s="14">
        <v>14455</v>
      </c>
      <c r="X13" s="14">
        <v>16001</v>
      </c>
      <c r="Y13" s="14">
        <v>17890</v>
      </c>
      <c r="Z13" s="14">
        <v>19410</v>
      </c>
      <c r="AA13" s="14">
        <v>19116</v>
      </c>
      <c r="AB13" s="14">
        <v>19442</v>
      </c>
      <c r="AC13" s="14">
        <v>21493</v>
      </c>
      <c r="AD13" s="14">
        <v>21017</v>
      </c>
      <c r="AE13" s="14">
        <v>20866</v>
      </c>
      <c r="AF13" s="14">
        <v>19883</v>
      </c>
      <c r="AG13" s="14">
        <v>20598</v>
      </c>
      <c r="AH13" s="14">
        <v>21503</v>
      </c>
      <c r="AI13" s="14">
        <v>19514</v>
      </c>
      <c r="AJ13" s="14">
        <v>18355</v>
      </c>
      <c r="AK13" s="14">
        <v>19512</v>
      </c>
      <c r="AL13" s="14">
        <v>19821</v>
      </c>
      <c r="AM13" s="14">
        <v>19608</v>
      </c>
      <c r="AN13" s="14">
        <v>21273</v>
      </c>
      <c r="AO13" s="14">
        <v>23146</v>
      </c>
      <c r="AP13" s="14">
        <v>21748</v>
      </c>
      <c r="AQ13" s="14">
        <v>22369</v>
      </c>
      <c r="AR13" s="14">
        <v>23617</v>
      </c>
      <c r="AS13" s="14">
        <v>24172</v>
      </c>
      <c r="AT13" s="14">
        <v>25002</v>
      </c>
      <c r="AU13" s="14">
        <v>25225</v>
      </c>
      <c r="AV13" s="14">
        <v>25506</v>
      </c>
      <c r="AW13" s="14">
        <v>26391</v>
      </c>
      <c r="AX13" s="14">
        <v>25245</v>
      </c>
      <c r="AY13" s="14">
        <v>23977</v>
      </c>
      <c r="AZ13" s="14">
        <v>24023</v>
      </c>
      <c r="BA13" s="14">
        <v>24601</v>
      </c>
      <c r="BB13" s="14">
        <v>25320</v>
      </c>
      <c r="BC13" s="14">
        <v>25764</v>
      </c>
      <c r="BD13" s="14">
        <v>26287</v>
      </c>
      <c r="BE13" s="14">
        <v>26796</v>
      </c>
      <c r="BF13" s="14">
        <v>30736</v>
      </c>
      <c r="BG13" s="14">
        <v>34197</v>
      </c>
      <c r="BH13" s="14">
        <v>34428</v>
      </c>
      <c r="BI13" s="14">
        <v>34135</v>
      </c>
      <c r="BJ13" s="14">
        <v>33342</v>
      </c>
      <c r="BK13" s="14">
        <v>29728</v>
      </c>
      <c r="BL13" s="14">
        <v>31666</v>
      </c>
      <c r="BM13" s="14">
        <v>31225</v>
      </c>
      <c r="BN13" s="14">
        <v>31746</v>
      </c>
      <c r="BO13" s="14">
        <v>34903</v>
      </c>
      <c r="BP13" s="14">
        <v>36168</v>
      </c>
      <c r="BQ13" s="14">
        <v>34440</v>
      </c>
      <c r="BR13" s="14">
        <v>37916</v>
      </c>
      <c r="BS13" s="14">
        <v>35470</v>
      </c>
      <c r="BT13" s="14">
        <v>37099</v>
      </c>
      <c r="BU13" s="14">
        <v>37109</v>
      </c>
      <c r="BV13" s="14">
        <v>34509</v>
      </c>
      <c r="BW13" s="14">
        <v>31518</v>
      </c>
      <c r="BX13" s="14">
        <v>34225</v>
      </c>
      <c r="BY13" s="14">
        <v>34524</v>
      </c>
      <c r="BZ13" s="14">
        <v>30855</v>
      </c>
      <c r="CA13" s="14">
        <v>36224</v>
      </c>
      <c r="CB13" s="14">
        <v>39188</v>
      </c>
      <c r="CC13" s="14">
        <v>39069</v>
      </c>
      <c r="CD13" s="14">
        <v>34702</v>
      </c>
      <c r="CE13" s="14">
        <v>31289</v>
      </c>
      <c r="CF13" s="14">
        <v>31129</v>
      </c>
      <c r="CG13" s="14">
        <v>28282</v>
      </c>
      <c r="CH13" s="14">
        <v>29852</v>
      </c>
      <c r="CI13" s="14">
        <v>25695</v>
      </c>
      <c r="CJ13" s="14">
        <v>20710</v>
      </c>
      <c r="CK13" s="14">
        <v>22975</v>
      </c>
      <c r="CL13" s="14">
        <v>18114</v>
      </c>
      <c r="CM13" s="14">
        <v>19593</v>
      </c>
      <c r="CN13" s="14">
        <v>19176</v>
      </c>
      <c r="CO13" s="14">
        <v>18499</v>
      </c>
      <c r="CP13" s="14">
        <v>18072</v>
      </c>
      <c r="CQ13" s="14">
        <v>13543</v>
      </c>
      <c r="CR13" s="14">
        <v>11930</v>
      </c>
      <c r="CS13" s="14">
        <v>13371</v>
      </c>
      <c r="CT13" s="14">
        <v>12857</v>
      </c>
      <c r="CU13" s="14">
        <v>16841</v>
      </c>
      <c r="CV13" s="14">
        <v>12805</v>
      </c>
      <c r="CW13" s="14">
        <v>10297</v>
      </c>
      <c r="CX13" s="14">
        <v>11385</v>
      </c>
      <c r="CY13" s="14">
        <v>9951</v>
      </c>
      <c r="CZ13" s="14">
        <v>8771</v>
      </c>
      <c r="DA13" s="14">
        <v>7822</v>
      </c>
      <c r="DB13" s="14">
        <v>6922</v>
      </c>
      <c r="DC13" s="14">
        <v>5469</v>
      </c>
      <c r="DD13" s="14">
        <v>4157</v>
      </c>
      <c r="DE13" s="14">
        <v>3531</v>
      </c>
      <c r="DF13" s="14">
        <v>2256</v>
      </c>
      <c r="DG13" s="14">
        <v>1678</v>
      </c>
      <c r="DH13" s="14">
        <v>1362</v>
      </c>
      <c r="DI13" s="14">
        <v>936</v>
      </c>
      <c r="DJ13" s="14">
        <v>617</v>
      </c>
      <c r="DK13" s="14">
        <v>320</v>
      </c>
      <c r="DL13" s="14">
        <v>251</v>
      </c>
      <c r="DM13" s="14">
        <v>488</v>
      </c>
      <c r="DN13" s="15">
        <v>81</v>
      </c>
      <c r="DO13" s="15">
        <v>87.2</v>
      </c>
      <c r="DP13" s="15">
        <v>87.8</v>
      </c>
      <c r="DQ13" s="15">
        <v>84.4</v>
      </c>
      <c r="DR13" s="15">
        <v>86</v>
      </c>
      <c r="DS13" s="15">
        <v>86.7</v>
      </c>
      <c r="DT13" s="15">
        <v>93.7</v>
      </c>
      <c r="DU13" s="16">
        <f>비용계산근거!J14</f>
        <v>5.2929999999999993</v>
      </c>
    </row>
    <row r="14" spans="1:125" ht="24" customHeight="1">
      <c r="A14" s="3" t="s">
        <v>137</v>
      </c>
      <c r="B14" s="9">
        <v>33.1</v>
      </c>
      <c r="C14" s="9">
        <v>8941317.1999999993</v>
      </c>
      <c r="D14" s="10">
        <v>91856</v>
      </c>
      <c r="E14" s="10">
        <v>1039</v>
      </c>
      <c r="F14" s="10">
        <v>14141</v>
      </c>
      <c r="G14" s="10">
        <v>356</v>
      </c>
      <c r="H14" s="10">
        <v>2</v>
      </c>
      <c r="I14" s="10">
        <v>107363</v>
      </c>
      <c r="J14" s="10">
        <v>106937</v>
      </c>
      <c r="K14" s="10">
        <v>106205</v>
      </c>
      <c r="L14" s="10">
        <v>107712</v>
      </c>
      <c r="M14" s="10">
        <v>112584</v>
      </c>
      <c r="N14" s="10">
        <v>76055</v>
      </c>
      <c r="O14" s="10">
        <v>57027</v>
      </c>
      <c r="P14" s="10">
        <v>759099</v>
      </c>
      <c r="Q14" s="10">
        <v>6676</v>
      </c>
      <c r="R14" s="10">
        <v>6735</v>
      </c>
      <c r="S14" s="10">
        <v>7237</v>
      </c>
      <c r="T14" s="10">
        <v>7736</v>
      </c>
      <c r="U14" s="10">
        <v>8429</v>
      </c>
      <c r="V14" s="10">
        <v>9284</v>
      </c>
      <c r="W14" s="10">
        <v>10236</v>
      </c>
      <c r="X14" s="10">
        <v>11469</v>
      </c>
      <c r="Y14" s="10">
        <v>12929</v>
      </c>
      <c r="Z14" s="10">
        <v>14350</v>
      </c>
      <c r="AA14" s="10">
        <v>14562</v>
      </c>
      <c r="AB14" s="10">
        <v>14867</v>
      </c>
      <c r="AC14" s="10">
        <v>16672</v>
      </c>
      <c r="AD14" s="10">
        <v>16634</v>
      </c>
      <c r="AE14" s="10">
        <v>16667</v>
      </c>
      <c r="AF14" s="10">
        <v>15844</v>
      </c>
      <c r="AG14" s="10">
        <v>16736</v>
      </c>
      <c r="AH14" s="10">
        <v>17775</v>
      </c>
      <c r="AI14" s="10">
        <v>16120</v>
      </c>
      <c r="AJ14" s="10">
        <v>15493</v>
      </c>
      <c r="AK14" s="10">
        <v>16363</v>
      </c>
      <c r="AL14" s="10">
        <v>16949</v>
      </c>
      <c r="AM14" s="10">
        <v>16857</v>
      </c>
      <c r="AN14" s="10">
        <v>18373</v>
      </c>
      <c r="AO14" s="10">
        <v>19705</v>
      </c>
      <c r="AP14" s="10">
        <v>18286</v>
      </c>
      <c r="AQ14" s="10">
        <v>18464</v>
      </c>
      <c r="AR14" s="10">
        <v>18483</v>
      </c>
      <c r="AS14" s="10">
        <v>18778</v>
      </c>
      <c r="AT14" s="10">
        <v>19000</v>
      </c>
      <c r="AU14" s="10">
        <v>18986</v>
      </c>
      <c r="AV14" s="10">
        <v>18185</v>
      </c>
      <c r="AW14" s="10">
        <v>18351</v>
      </c>
      <c r="AX14" s="10">
        <v>17647</v>
      </c>
      <c r="AY14" s="10">
        <v>16376</v>
      </c>
      <c r="AZ14" s="10">
        <v>16063</v>
      </c>
      <c r="BA14" s="10">
        <v>16110</v>
      </c>
      <c r="BB14" s="10">
        <v>16118</v>
      </c>
      <c r="BC14" s="10">
        <v>16844</v>
      </c>
      <c r="BD14" s="10">
        <v>17972</v>
      </c>
      <c r="BE14" s="10">
        <v>18745</v>
      </c>
      <c r="BF14" s="10">
        <v>21281</v>
      </c>
      <c r="BG14" s="10">
        <v>23688</v>
      </c>
      <c r="BH14" s="10">
        <v>23999</v>
      </c>
      <c r="BI14" s="10">
        <v>24564</v>
      </c>
      <c r="BJ14" s="10">
        <v>24395</v>
      </c>
      <c r="BK14" s="10">
        <v>22703</v>
      </c>
      <c r="BL14" s="10">
        <v>25108</v>
      </c>
      <c r="BM14" s="10">
        <v>24591</v>
      </c>
      <c r="BN14" s="10">
        <v>25402</v>
      </c>
      <c r="BO14" s="10">
        <v>29476</v>
      </c>
      <c r="BP14" s="10">
        <v>29867</v>
      </c>
      <c r="BQ14" s="10">
        <v>29672</v>
      </c>
      <c r="BR14" s="10">
        <v>31919</v>
      </c>
      <c r="BS14" s="10">
        <v>30611</v>
      </c>
      <c r="BT14" s="10">
        <v>30493</v>
      </c>
      <c r="BU14" s="10">
        <v>31900</v>
      </c>
      <c r="BV14" s="10">
        <v>29478</v>
      </c>
      <c r="BW14" s="10">
        <v>28982</v>
      </c>
      <c r="BX14" s="10">
        <v>29562</v>
      </c>
      <c r="BY14" s="10">
        <v>28265</v>
      </c>
      <c r="BZ14" s="10">
        <v>27246</v>
      </c>
      <c r="CA14" s="10">
        <v>30536</v>
      </c>
      <c r="CB14" s="10">
        <v>32048</v>
      </c>
      <c r="CC14" s="10">
        <v>34535</v>
      </c>
      <c r="CD14" s="10">
        <v>30443</v>
      </c>
      <c r="CE14" s="10">
        <v>26695</v>
      </c>
      <c r="CF14" s="10">
        <v>27686</v>
      </c>
      <c r="CG14" s="10">
        <v>24725</v>
      </c>
      <c r="CH14" s="10">
        <v>26683</v>
      </c>
      <c r="CI14" s="10">
        <v>23313</v>
      </c>
      <c r="CJ14" s="10">
        <v>18543</v>
      </c>
      <c r="CK14" s="10">
        <v>20384</v>
      </c>
      <c r="CL14" s="10">
        <v>17430</v>
      </c>
      <c r="CM14" s="10">
        <v>19830</v>
      </c>
      <c r="CN14" s="10">
        <v>18107</v>
      </c>
      <c r="CO14" s="10">
        <v>16890</v>
      </c>
      <c r="CP14" s="10">
        <v>18827</v>
      </c>
      <c r="CQ14" s="10">
        <v>14581</v>
      </c>
      <c r="CR14" s="10">
        <v>11882</v>
      </c>
      <c r="CS14" s="10">
        <v>12128</v>
      </c>
      <c r="CT14" s="10">
        <v>11863</v>
      </c>
      <c r="CU14" s="10">
        <v>17268</v>
      </c>
      <c r="CV14" s="10">
        <v>12514</v>
      </c>
      <c r="CW14" s="10">
        <v>10053</v>
      </c>
      <c r="CX14" s="10">
        <v>10461</v>
      </c>
      <c r="CY14" s="10">
        <v>9099</v>
      </c>
      <c r="CZ14" s="10">
        <v>7810</v>
      </c>
      <c r="DA14" s="10">
        <v>6877</v>
      </c>
      <c r="DB14" s="10">
        <v>6162</v>
      </c>
      <c r="DC14" s="10">
        <v>4852</v>
      </c>
      <c r="DD14" s="10">
        <v>3787</v>
      </c>
      <c r="DE14" s="10">
        <v>2924</v>
      </c>
      <c r="DF14" s="10">
        <v>2164</v>
      </c>
      <c r="DG14" s="10">
        <v>1539</v>
      </c>
      <c r="DH14" s="10">
        <v>1223</v>
      </c>
      <c r="DI14" s="10">
        <v>866</v>
      </c>
      <c r="DJ14" s="10">
        <v>645</v>
      </c>
      <c r="DK14" s="10">
        <v>362</v>
      </c>
      <c r="DL14" s="10">
        <v>185</v>
      </c>
      <c r="DM14" s="10">
        <v>462</v>
      </c>
      <c r="DN14" s="11">
        <v>99.5</v>
      </c>
      <c r="DO14" s="11">
        <v>94.5</v>
      </c>
      <c r="DP14" s="11">
        <v>105.2</v>
      </c>
      <c r="DQ14" s="11">
        <v>90.5</v>
      </c>
      <c r="DR14" s="11">
        <v>90.2</v>
      </c>
      <c r="DS14" s="11">
        <v>95.3</v>
      </c>
      <c r="DT14" s="11">
        <v>110.2</v>
      </c>
      <c r="DU14" s="12">
        <f>비용계산근거!J15</f>
        <v>5.3359999999999994</v>
      </c>
    </row>
    <row r="15" spans="1:125" ht="24" customHeight="1">
      <c r="A15" s="1" t="s">
        <v>138</v>
      </c>
      <c r="B15" s="13">
        <v>33.700000000000003</v>
      </c>
      <c r="C15" s="13">
        <v>9347509.1999999993</v>
      </c>
      <c r="D15" s="14">
        <v>80497</v>
      </c>
      <c r="E15" s="14">
        <v>3100</v>
      </c>
      <c r="F15" s="14">
        <v>27041</v>
      </c>
      <c r="G15" s="14">
        <v>499</v>
      </c>
      <c r="H15" s="14">
        <v>778</v>
      </c>
      <c r="I15" s="14">
        <v>111907</v>
      </c>
      <c r="J15" s="14">
        <v>111143</v>
      </c>
      <c r="K15" s="14">
        <v>110904</v>
      </c>
      <c r="L15" s="14">
        <v>111681</v>
      </c>
      <c r="M15" s="14">
        <v>117089</v>
      </c>
      <c r="N15" s="14">
        <v>83757</v>
      </c>
      <c r="O15" s="14">
        <v>63702</v>
      </c>
      <c r="P15" s="14">
        <v>763663</v>
      </c>
      <c r="Q15" s="14">
        <v>8084</v>
      </c>
      <c r="R15" s="14">
        <v>7727</v>
      </c>
      <c r="S15" s="14">
        <v>8067</v>
      </c>
      <c r="T15" s="14">
        <v>8534</v>
      </c>
      <c r="U15" s="14">
        <v>9116</v>
      </c>
      <c r="V15" s="14">
        <v>10209</v>
      </c>
      <c r="W15" s="14">
        <v>10479</v>
      </c>
      <c r="X15" s="14">
        <v>11538</v>
      </c>
      <c r="Y15" s="14">
        <v>13291</v>
      </c>
      <c r="Z15" s="14">
        <v>14323</v>
      </c>
      <c r="AA15" s="14">
        <v>14247</v>
      </c>
      <c r="AB15" s="14">
        <v>14815</v>
      </c>
      <c r="AC15" s="14">
        <v>16662</v>
      </c>
      <c r="AD15" s="14">
        <v>16498</v>
      </c>
      <c r="AE15" s="14">
        <v>16208</v>
      </c>
      <c r="AF15" s="14">
        <v>15313</v>
      </c>
      <c r="AG15" s="14">
        <v>15966</v>
      </c>
      <c r="AH15" s="14">
        <v>17030</v>
      </c>
      <c r="AI15" s="14">
        <v>15464</v>
      </c>
      <c r="AJ15" s="14">
        <v>14235</v>
      </c>
      <c r="AK15" s="14">
        <v>15222</v>
      </c>
      <c r="AL15" s="14">
        <v>15499</v>
      </c>
      <c r="AM15" s="14">
        <v>15182</v>
      </c>
      <c r="AN15" s="14">
        <v>16469</v>
      </c>
      <c r="AO15" s="14">
        <v>18048</v>
      </c>
      <c r="AP15" s="14">
        <v>17090</v>
      </c>
      <c r="AQ15" s="14">
        <v>17340</v>
      </c>
      <c r="AR15" s="14">
        <v>17778</v>
      </c>
      <c r="AS15" s="14">
        <v>18050</v>
      </c>
      <c r="AT15" s="14">
        <v>18551</v>
      </c>
      <c r="AU15" s="14">
        <v>17997</v>
      </c>
      <c r="AV15" s="14">
        <v>17756</v>
      </c>
      <c r="AW15" s="14">
        <v>17926</v>
      </c>
      <c r="AX15" s="14">
        <v>17193</v>
      </c>
      <c r="AY15" s="14">
        <v>15773</v>
      </c>
      <c r="AZ15" s="14">
        <v>15671</v>
      </c>
      <c r="BA15" s="14">
        <v>15657</v>
      </c>
      <c r="BB15" s="14">
        <v>16147</v>
      </c>
      <c r="BC15" s="14">
        <v>16876</v>
      </c>
      <c r="BD15" s="14">
        <v>18148</v>
      </c>
      <c r="BE15" s="14">
        <v>18784</v>
      </c>
      <c r="BF15" s="14">
        <v>21522</v>
      </c>
      <c r="BG15" s="14">
        <v>24121</v>
      </c>
      <c r="BH15" s="14">
        <v>23887</v>
      </c>
      <c r="BI15" s="14">
        <v>24371</v>
      </c>
      <c r="BJ15" s="14">
        <v>24815</v>
      </c>
      <c r="BK15" s="14">
        <v>22197</v>
      </c>
      <c r="BL15" s="14">
        <v>24451</v>
      </c>
      <c r="BM15" s="14">
        <v>23846</v>
      </c>
      <c r="BN15" s="14">
        <v>24752</v>
      </c>
      <c r="BO15" s="14">
        <v>27578</v>
      </c>
      <c r="BP15" s="14">
        <v>29075</v>
      </c>
      <c r="BQ15" s="14">
        <v>29505</v>
      </c>
      <c r="BR15" s="14">
        <v>31628</v>
      </c>
      <c r="BS15" s="14">
        <v>31263</v>
      </c>
      <c r="BT15" s="14">
        <v>30999</v>
      </c>
      <c r="BU15" s="14">
        <v>33189</v>
      </c>
      <c r="BV15" s="14">
        <v>31384</v>
      </c>
      <c r="BW15" s="14">
        <v>31633</v>
      </c>
      <c r="BX15" s="14">
        <v>32063</v>
      </c>
      <c r="BY15" s="14">
        <v>30679</v>
      </c>
      <c r="BZ15" s="14">
        <v>31357</v>
      </c>
      <c r="CA15" s="14">
        <v>32232</v>
      </c>
      <c r="CB15" s="14">
        <v>33943</v>
      </c>
      <c r="CC15" s="14">
        <v>36874</v>
      </c>
      <c r="CD15" s="14">
        <v>33515</v>
      </c>
      <c r="CE15" s="14">
        <v>30285</v>
      </c>
      <c r="CF15" s="14">
        <v>29728</v>
      </c>
      <c r="CG15" s="14">
        <v>25682</v>
      </c>
      <c r="CH15" s="14">
        <v>27404</v>
      </c>
      <c r="CI15" s="14">
        <v>23679</v>
      </c>
      <c r="CJ15" s="14">
        <v>19314</v>
      </c>
      <c r="CK15" s="14">
        <v>22941</v>
      </c>
      <c r="CL15" s="14">
        <v>19837</v>
      </c>
      <c r="CM15" s="14">
        <v>20120</v>
      </c>
      <c r="CN15" s="14">
        <v>20000</v>
      </c>
      <c r="CO15" s="14">
        <v>19002</v>
      </c>
      <c r="CP15" s="14">
        <v>20384</v>
      </c>
      <c r="CQ15" s="14">
        <v>15720</v>
      </c>
      <c r="CR15" s="14">
        <v>14424</v>
      </c>
      <c r="CS15" s="14">
        <v>14248</v>
      </c>
      <c r="CT15" s="14">
        <v>13925</v>
      </c>
      <c r="CU15" s="14">
        <v>19341</v>
      </c>
      <c r="CV15" s="14">
        <v>15316</v>
      </c>
      <c r="CW15" s="14">
        <v>13227</v>
      </c>
      <c r="CX15" s="14">
        <v>12471</v>
      </c>
      <c r="CY15" s="14">
        <v>10850</v>
      </c>
      <c r="CZ15" s="14">
        <v>9345</v>
      </c>
      <c r="DA15" s="14">
        <v>7816</v>
      </c>
      <c r="DB15" s="14">
        <v>6683</v>
      </c>
      <c r="DC15" s="14">
        <v>5402</v>
      </c>
      <c r="DD15" s="14">
        <v>3947</v>
      </c>
      <c r="DE15" s="14">
        <v>3300</v>
      </c>
      <c r="DF15" s="14">
        <v>2443</v>
      </c>
      <c r="DG15" s="14">
        <v>2022</v>
      </c>
      <c r="DH15" s="14">
        <v>1389</v>
      </c>
      <c r="DI15" s="14">
        <v>910</v>
      </c>
      <c r="DJ15" s="14">
        <v>634</v>
      </c>
      <c r="DK15" s="14">
        <v>386</v>
      </c>
      <c r="DL15" s="14">
        <v>261</v>
      </c>
      <c r="DM15" s="14">
        <v>541</v>
      </c>
      <c r="DN15" s="15">
        <v>92.2</v>
      </c>
      <c r="DO15" s="15">
        <v>90.3</v>
      </c>
      <c r="DP15" s="15">
        <v>87.6</v>
      </c>
      <c r="DQ15" s="15">
        <v>86.9</v>
      </c>
      <c r="DR15" s="15">
        <v>89.1</v>
      </c>
      <c r="DS15" s="15">
        <v>90.9</v>
      </c>
      <c r="DT15" s="15">
        <v>92.9</v>
      </c>
      <c r="DU15" s="16">
        <f>비용계산근거!J16</f>
        <v>5.3739999999999997</v>
      </c>
    </row>
    <row r="16" spans="1:125" ht="24" customHeight="1">
      <c r="A16" s="3" t="s">
        <v>139</v>
      </c>
      <c r="B16" s="9">
        <v>32.5</v>
      </c>
      <c r="C16" s="9">
        <v>13652672.9</v>
      </c>
      <c r="D16" s="10">
        <v>118913</v>
      </c>
      <c r="E16" s="10">
        <v>8154</v>
      </c>
      <c r="F16" s="10">
        <v>16402</v>
      </c>
      <c r="G16" s="10">
        <v>525</v>
      </c>
      <c r="H16" s="10">
        <v>7793</v>
      </c>
      <c r="I16" s="10">
        <v>151723</v>
      </c>
      <c r="J16" s="10">
        <v>150408</v>
      </c>
      <c r="K16" s="10">
        <v>149585</v>
      </c>
      <c r="L16" s="10">
        <v>152955</v>
      </c>
      <c r="M16" s="10">
        <v>164365</v>
      </c>
      <c r="N16" s="10">
        <v>121291</v>
      </c>
      <c r="O16" s="10">
        <v>93610</v>
      </c>
      <c r="P16" s="10">
        <v>1158525</v>
      </c>
      <c r="Q16" s="10">
        <v>10083</v>
      </c>
      <c r="R16" s="10">
        <v>10031</v>
      </c>
      <c r="S16" s="10">
        <v>11060</v>
      </c>
      <c r="T16" s="10">
        <v>11572</v>
      </c>
      <c r="U16" s="10">
        <v>12441</v>
      </c>
      <c r="V16" s="10">
        <v>13752</v>
      </c>
      <c r="W16" s="10">
        <v>15128</v>
      </c>
      <c r="X16" s="10">
        <v>16500</v>
      </c>
      <c r="Y16" s="10">
        <v>19073</v>
      </c>
      <c r="Z16" s="10">
        <v>20618</v>
      </c>
      <c r="AA16" s="10">
        <v>20321</v>
      </c>
      <c r="AB16" s="10">
        <v>20817</v>
      </c>
      <c r="AC16" s="10">
        <v>22767</v>
      </c>
      <c r="AD16" s="10">
        <v>22302</v>
      </c>
      <c r="AE16" s="10">
        <v>21740</v>
      </c>
      <c r="AF16" s="10">
        <v>20938</v>
      </c>
      <c r="AG16" s="10">
        <v>22334</v>
      </c>
      <c r="AH16" s="10">
        <v>23277</v>
      </c>
      <c r="AI16" s="10">
        <v>21061</v>
      </c>
      <c r="AJ16" s="10">
        <v>20196</v>
      </c>
      <c r="AK16" s="10">
        <v>20813</v>
      </c>
      <c r="AL16" s="10">
        <v>21540</v>
      </c>
      <c r="AM16" s="10">
        <v>21145</v>
      </c>
      <c r="AN16" s="10">
        <v>23271</v>
      </c>
      <c r="AO16" s="10">
        <v>25550</v>
      </c>
      <c r="AP16" s="10">
        <v>23752</v>
      </c>
      <c r="AQ16" s="10">
        <v>23657</v>
      </c>
      <c r="AR16" s="10">
        <v>24707</v>
      </c>
      <c r="AS16" s="10">
        <v>25261</v>
      </c>
      <c r="AT16" s="10">
        <v>26125</v>
      </c>
      <c r="AU16" s="10">
        <v>26020</v>
      </c>
      <c r="AV16" s="10">
        <v>25810</v>
      </c>
      <c r="AW16" s="10">
        <v>26648</v>
      </c>
      <c r="AX16" s="10">
        <v>25808</v>
      </c>
      <c r="AY16" s="10">
        <v>24476</v>
      </c>
      <c r="AZ16" s="10">
        <v>24348</v>
      </c>
      <c r="BA16" s="10">
        <v>24433</v>
      </c>
      <c r="BB16" s="10">
        <v>25234</v>
      </c>
      <c r="BC16" s="10">
        <v>25994</v>
      </c>
      <c r="BD16" s="10">
        <v>26992</v>
      </c>
      <c r="BE16" s="10">
        <v>27599</v>
      </c>
      <c r="BF16" s="10">
        <v>31991</v>
      </c>
      <c r="BG16" s="10">
        <v>35783</v>
      </c>
      <c r="BH16" s="10">
        <v>36830</v>
      </c>
      <c r="BI16" s="10">
        <v>36583</v>
      </c>
      <c r="BJ16" s="10">
        <v>36192</v>
      </c>
      <c r="BK16" s="10">
        <v>32108</v>
      </c>
      <c r="BL16" s="10">
        <v>35179</v>
      </c>
      <c r="BM16" s="10">
        <v>34617</v>
      </c>
      <c r="BN16" s="10">
        <v>37118</v>
      </c>
      <c r="BO16" s="10">
        <v>40219</v>
      </c>
      <c r="BP16" s="10">
        <v>42071</v>
      </c>
      <c r="BQ16" s="10">
        <v>42470</v>
      </c>
      <c r="BR16" s="10">
        <v>44467</v>
      </c>
      <c r="BS16" s="10">
        <v>44601</v>
      </c>
      <c r="BT16" s="10">
        <v>45835</v>
      </c>
      <c r="BU16" s="10">
        <v>48117</v>
      </c>
      <c r="BV16" s="10">
        <v>44625</v>
      </c>
      <c r="BW16" s="10">
        <v>43619</v>
      </c>
      <c r="BX16" s="10">
        <v>45265</v>
      </c>
      <c r="BY16" s="10">
        <v>44359</v>
      </c>
      <c r="BZ16" s="10">
        <v>43337</v>
      </c>
      <c r="CA16" s="10">
        <v>48983</v>
      </c>
      <c r="CB16" s="10">
        <v>51860</v>
      </c>
      <c r="CC16" s="10">
        <v>50734</v>
      </c>
      <c r="CD16" s="10">
        <v>50262</v>
      </c>
      <c r="CE16" s="10">
        <v>42700</v>
      </c>
      <c r="CF16" s="10">
        <v>43862</v>
      </c>
      <c r="CG16" s="10">
        <v>40818</v>
      </c>
      <c r="CH16" s="10">
        <v>40514</v>
      </c>
      <c r="CI16" s="10">
        <v>35246</v>
      </c>
      <c r="CJ16" s="10">
        <v>32872</v>
      </c>
      <c r="CK16" s="10">
        <v>34608</v>
      </c>
      <c r="CL16" s="10">
        <v>26690</v>
      </c>
      <c r="CM16" s="10">
        <v>25844</v>
      </c>
      <c r="CN16" s="10">
        <v>26899</v>
      </c>
      <c r="CO16" s="10">
        <v>26453</v>
      </c>
      <c r="CP16" s="10">
        <v>24219</v>
      </c>
      <c r="CQ16" s="10">
        <v>16881</v>
      </c>
      <c r="CR16" s="10">
        <v>15277</v>
      </c>
      <c r="CS16" s="10">
        <v>18249</v>
      </c>
      <c r="CT16" s="10">
        <v>19517</v>
      </c>
      <c r="CU16" s="10">
        <v>22699</v>
      </c>
      <c r="CV16" s="10">
        <v>17143</v>
      </c>
      <c r="CW16" s="10">
        <v>15295</v>
      </c>
      <c r="CX16" s="10">
        <v>15641</v>
      </c>
      <c r="CY16" s="10">
        <v>12691</v>
      </c>
      <c r="CZ16" s="10">
        <v>11033</v>
      </c>
      <c r="DA16" s="10">
        <v>9805</v>
      </c>
      <c r="DB16" s="10">
        <v>8549</v>
      </c>
      <c r="DC16" s="10">
        <v>6737</v>
      </c>
      <c r="DD16" s="10">
        <v>4946</v>
      </c>
      <c r="DE16" s="10">
        <v>4152</v>
      </c>
      <c r="DF16" s="10">
        <v>2777</v>
      </c>
      <c r="DG16" s="10">
        <v>2097</v>
      </c>
      <c r="DH16" s="10">
        <v>1499</v>
      </c>
      <c r="DI16" s="10">
        <v>1184</v>
      </c>
      <c r="DJ16" s="10">
        <v>770</v>
      </c>
      <c r="DK16" s="10">
        <v>450</v>
      </c>
      <c r="DL16" s="10">
        <v>297</v>
      </c>
      <c r="DM16" s="10">
        <v>551</v>
      </c>
      <c r="DN16" s="11">
        <v>79.7</v>
      </c>
      <c r="DO16" s="11">
        <v>82.5</v>
      </c>
      <c r="DP16" s="11">
        <v>81.099999999999994</v>
      </c>
      <c r="DQ16" s="11">
        <v>77.599999999999994</v>
      </c>
      <c r="DR16" s="11">
        <v>79.599999999999994</v>
      </c>
      <c r="DS16" s="11">
        <v>88.3</v>
      </c>
      <c r="DT16" s="11">
        <v>79.5</v>
      </c>
      <c r="DU16" s="12">
        <f>비용계산근거!J17</f>
        <v>5.3679999999999994</v>
      </c>
    </row>
    <row r="17" spans="1:125" ht="24" customHeight="1">
      <c r="A17" s="1" t="s">
        <v>140</v>
      </c>
      <c r="B17" s="13">
        <v>32.299999999999997</v>
      </c>
      <c r="C17" s="13">
        <v>17461926.5</v>
      </c>
      <c r="D17" s="14">
        <v>220848</v>
      </c>
      <c r="E17" s="14">
        <v>4244</v>
      </c>
      <c r="F17" s="14">
        <v>40496</v>
      </c>
      <c r="G17" s="14">
        <v>1501</v>
      </c>
      <c r="H17" s="14">
        <v>8413</v>
      </c>
      <c r="I17" s="14">
        <v>275420</v>
      </c>
      <c r="J17" s="14">
        <v>275797</v>
      </c>
      <c r="K17" s="14">
        <v>276696</v>
      </c>
      <c r="L17" s="14">
        <v>278484</v>
      </c>
      <c r="M17" s="14">
        <v>295021</v>
      </c>
      <c r="N17" s="14">
        <v>221096</v>
      </c>
      <c r="O17" s="14">
        <v>164492</v>
      </c>
      <c r="P17" s="14">
        <v>1500900</v>
      </c>
      <c r="Q17" s="14">
        <v>12941</v>
      </c>
      <c r="R17" s="14">
        <v>13347</v>
      </c>
      <c r="S17" s="14">
        <v>14258</v>
      </c>
      <c r="T17" s="14">
        <v>15520</v>
      </c>
      <c r="U17" s="14">
        <v>16928</v>
      </c>
      <c r="V17" s="14">
        <v>19291</v>
      </c>
      <c r="W17" s="14">
        <v>21306</v>
      </c>
      <c r="X17" s="14">
        <v>23887</v>
      </c>
      <c r="Y17" s="14">
        <v>27496</v>
      </c>
      <c r="Z17" s="14">
        <v>30033</v>
      </c>
      <c r="AA17" s="14">
        <v>30251</v>
      </c>
      <c r="AB17" s="14">
        <v>30168</v>
      </c>
      <c r="AC17" s="14">
        <v>33660</v>
      </c>
      <c r="AD17" s="14">
        <v>33112</v>
      </c>
      <c r="AE17" s="14">
        <v>32641</v>
      </c>
      <c r="AF17" s="14">
        <v>30797</v>
      </c>
      <c r="AG17" s="14">
        <v>32331</v>
      </c>
      <c r="AH17" s="14">
        <v>34139</v>
      </c>
      <c r="AI17" s="14">
        <v>30025</v>
      </c>
      <c r="AJ17" s="14">
        <v>27018</v>
      </c>
      <c r="AK17" s="14">
        <v>28309</v>
      </c>
      <c r="AL17" s="14">
        <v>28289</v>
      </c>
      <c r="AM17" s="14">
        <v>27013</v>
      </c>
      <c r="AN17" s="14">
        <v>29212</v>
      </c>
      <c r="AO17" s="14">
        <v>32114</v>
      </c>
      <c r="AP17" s="14">
        <v>30749</v>
      </c>
      <c r="AQ17" s="14">
        <v>30960</v>
      </c>
      <c r="AR17" s="14">
        <v>32033</v>
      </c>
      <c r="AS17" s="14">
        <v>33231</v>
      </c>
      <c r="AT17" s="14">
        <v>33773</v>
      </c>
      <c r="AU17" s="14">
        <v>34489</v>
      </c>
      <c r="AV17" s="14">
        <v>34718</v>
      </c>
      <c r="AW17" s="14">
        <v>35531</v>
      </c>
      <c r="AX17" s="14">
        <v>35240</v>
      </c>
      <c r="AY17" s="14">
        <v>32690</v>
      </c>
      <c r="AZ17" s="14">
        <v>33316</v>
      </c>
      <c r="BA17" s="14">
        <v>33224</v>
      </c>
      <c r="BB17" s="14">
        <v>33842</v>
      </c>
      <c r="BC17" s="14">
        <v>35117</v>
      </c>
      <c r="BD17" s="14">
        <v>37560</v>
      </c>
      <c r="BE17" s="14">
        <v>39444</v>
      </c>
      <c r="BF17" s="14">
        <v>45364</v>
      </c>
      <c r="BG17" s="14">
        <v>50701</v>
      </c>
      <c r="BH17" s="14">
        <v>52648</v>
      </c>
      <c r="BI17" s="14">
        <v>53697</v>
      </c>
      <c r="BJ17" s="14">
        <v>52544</v>
      </c>
      <c r="BK17" s="14">
        <v>46861</v>
      </c>
      <c r="BL17" s="14">
        <v>49241</v>
      </c>
      <c r="BM17" s="14">
        <v>47987</v>
      </c>
      <c r="BN17" s="14">
        <v>51049</v>
      </c>
      <c r="BO17" s="14">
        <v>54893</v>
      </c>
      <c r="BP17" s="14">
        <v>58561</v>
      </c>
      <c r="BQ17" s="14">
        <v>57029</v>
      </c>
      <c r="BR17" s="14">
        <v>60887</v>
      </c>
      <c r="BS17" s="14">
        <v>60373</v>
      </c>
      <c r="BT17" s="14">
        <v>61983</v>
      </c>
      <c r="BU17" s="14">
        <v>61210</v>
      </c>
      <c r="BV17" s="14">
        <v>58378</v>
      </c>
      <c r="BW17" s="14">
        <v>54738</v>
      </c>
      <c r="BX17" s="14">
        <v>56707</v>
      </c>
      <c r="BY17" s="14">
        <v>52815</v>
      </c>
      <c r="BZ17" s="14">
        <v>51002</v>
      </c>
      <c r="CA17" s="14">
        <v>59909</v>
      </c>
      <c r="CB17" s="14">
        <v>62628</v>
      </c>
      <c r="CC17" s="14">
        <v>62842</v>
      </c>
      <c r="CD17" s="14">
        <v>55596</v>
      </c>
      <c r="CE17" s="14">
        <v>51419</v>
      </c>
      <c r="CF17" s="14">
        <v>51007</v>
      </c>
      <c r="CG17" s="14">
        <v>46069</v>
      </c>
      <c r="CH17" s="14">
        <v>47329</v>
      </c>
      <c r="CI17" s="14">
        <v>39692</v>
      </c>
      <c r="CJ17" s="14">
        <v>33513</v>
      </c>
      <c r="CK17" s="14">
        <v>37044</v>
      </c>
      <c r="CL17" s="14">
        <v>28867</v>
      </c>
      <c r="CM17" s="14">
        <v>27650</v>
      </c>
      <c r="CN17" s="14">
        <v>28168</v>
      </c>
      <c r="CO17" s="14">
        <v>27456</v>
      </c>
      <c r="CP17" s="14">
        <v>25627</v>
      </c>
      <c r="CQ17" s="14">
        <v>20039</v>
      </c>
      <c r="CR17" s="14">
        <v>16635</v>
      </c>
      <c r="CS17" s="14">
        <v>19100</v>
      </c>
      <c r="CT17" s="14">
        <v>18440</v>
      </c>
      <c r="CU17" s="14">
        <v>20621</v>
      </c>
      <c r="CV17" s="14">
        <v>17606</v>
      </c>
      <c r="CW17" s="14">
        <v>15305</v>
      </c>
      <c r="CX17" s="14">
        <v>14095</v>
      </c>
      <c r="CY17" s="14">
        <v>11943</v>
      </c>
      <c r="CZ17" s="14">
        <v>10394</v>
      </c>
      <c r="DA17" s="14">
        <v>9198</v>
      </c>
      <c r="DB17" s="14">
        <v>7652</v>
      </c>
      <c r="DC17" s="14">
        <v>6352</v>
      </c>
      <c r="DD17" s="14">
        <v>4564</v>
      </c>
      <c r="DE17" s="14">
        <v>3845</v>
      </c>
      <c r="DF17" s="14">
        <v>2682</v>
      </c>
      <c r="DG17" s="14">
        <v>2064</v>
      </c>
      <c r="DH17" s="14">
        <v>1492</v>
      </c>
      <c r="DI17" s="14">
        <v>1002</v>
      </c>
      <c r="DJ17" s="14">
        <v>700</v>
      </c>
      <c r="DK17" s="14">
        <v>423</v>
      </c>
      <c r="DL17" s="14">
        <v>290</v>
      </c>
      <c r="DM17" s="14">
        <v>451</v>
      </c>
      <c r="DN17" s="15">
        <v>45.3</v>
      </c>
      <c r="DO17" s="15">
        <v>50.4</v>
      </c>
      <c r="DP17" s="15">
        <v>40.9</v>
      </c>
      <c r="DQ17" s="15">
        <v>46.9</v>
      </c>
      <c r="DR17" s="15">
        <v>41.9</v>
      </c>
      <c r="DS17" s="15">
        <v>47.3</v>
      </c>
      <c r="DT17" s="15">
        <v>49.9</v>
      </c>
      <c r="DU17" s="16">
        <f>비용계산근거!J18</f>
        <v>5.35</v>
      </c>
    </row>
    <row r="18" spans="1:125" ht="24" customHeight="1">
      <c r="A18" s="3" t="s">
        <v>141</v>
      </c>
      <c r="B18" s="9">
        <v>29.3</v>
      </c>
      <c r="C18" s="9">
        <v>3510050.5</v>
      </c>
      <c r="D18" s="10">
        <v>48092</v>
      </c>
      <c r="E18" s="10">
        <v>2092</v>
      </c>
      <c r="F18" s="10">
        <v>13753</v>
      </c>
      <c r="G18" s="10">
        <v>3609</v>
      </c>
      <c r="H18" s="10">
        <v>15203</v>
      </c>
      <c r="I18" s="10">
        <v>82745</v>
      </c>
      <c r="J18" s="10">
        <v>83541</v>
      </c>
      <c r="K18" s="10">
        <v>82843</v>
      </c>
      <c r="L18" s="10">
        <v>82300</v>
      </c>
      <c r="M18" s="10">
        <v>84138</v>
      </c>
      <c r="N18" s="10">
        <v>63193</v>
      </c>
      <c r="O18" s="10">
        <v>53552</v>
      </c>
      <c r="P18" s="10">
        <v>332173</v>
      </c>
      <c r="Q18" s="10">
        <v>3125</v>
      </c>
      <c r="R18" s="10">
        <v>3263</v>
      </c>
      <c r="S18" s="10">
        <v>3682</v>
      </c>
      <c r="T18" s="10">
        <v>3940</v>
      </c>
      <c r="U18" s="10">
        <v>4241</v>
      </c>
      <c r="V18" s="10">
        <v>4870</v>
      </c>
      <c r="W18" s="10">
        <v>5255</v>
      </c>
      <c r="X18" s="10">
        <v>5869</v>
      </c>
      <c r="Y18" s="10">
        <v>6545</v>
      </c>
      <c r="Z18" s="10">
        <v>6966</v>
      </c>
      <c r="AA18" s="10">
        <v>7002</v>
      </c>
      <c r="AB18" s="10">
        <v>6980</v>
      </c>
      <c r="AC18" s="10">
        <v>7733</v>
      </c>
      <c r="AD18" s="10">
        <v>7369</v>
      </c>
      <c r="AE18" s="10">
        <v>7259</v>
      </c>
      <c r="AF18" s="10">
        <v>6864</v>
      </c>
      <c r="AG18" s="10">
        <v>6951</v>
      </c>
      <c r="AH18" s="10">
        <v>7333</v>
      </c>
      <c r="AI18" s="10">
        <v>6760</v>
      </c>
      <c r="AJ18" s="10">
        <v>6011</v>
      </c>
      <c r="AK18" s="10">
        <v>6241</v>
      </c>
      <c r="AL18" s="10">
        <v>6457</v>
      </c>
      <c r="AM18" s="10">
        <v>6093</v>
      </c>
      <c r="AN18" s="10">
        <v>6713</v>
      </c>
      <c r="AO18" s="10">
        <v>7498</v>
      </c>
      <c r="AP18" s="10">
        <v>6953</v>
      </c>
      <c r="AQ18" s="10">
        <v>6991</v>
      </c>
      <c r="AR18" s="10">
        <v>7471</v>
      </c>
      <c r="AS18" s="10">
        <v>7589</v>
      </c>
      <c r="AT18" s="10">
        <v>8003</v>
      </c>
      <c r="AU18" s="10">
        <v>8120</v>
      </c>
      <c r="AV18" s="10">
        <v>8222</v>
      </c>
      <c r="AW18" s="10">
        <v>8446</v>
      </c>
      <c r="AX18" s="10">
        <v>8000</v>
      </c>
      <c r="AY18" s="10">
        <v>7253</v>
      </c>
      <c r="AZ18" s="10">
        <v>7038</v>
      </c>
      <c r="BA18" s="10">
        <v>7144</v>
      </c>
      <c r="BB18" s="10">
        <v>7382</v>
      </c>
      <c r="BC18" s="10">
        <v>7671</v>
      </c>
      <c r="BD18" s="10">
        <v>8312</v>
      </c>
      <c r="BE18" s="10">
        <v>8734</v>
      </c>
      <c r="BF18" s="10">
        <v>9849</v>
      </c>
      <c r="BG18" s="10">
        <v>11298</v>
      </c>
      <c r="BH18" s="10">
        <v>11381</v>
      </c>
      <c r="BI18" s="10">
        <v>11264</v>
      </c>
      <c r="BJ18" s="10">
        <v>11503</v>
      </c>
      <c r="BK18" s="10">
        <v>9518</v>
      </c>
      <c r="BL18" s="10">
        <v>10662</v>
      </c>
      <c r="BM18" s="10">
        <v>10275</v>
      </c>
      <c r="BN18" s="10">
        <v>10734</v>
      </c>
      <c r="BO18" s="10">
        <v>11880</v>
      </c>
      <c r="BP18" s="10">
        <v>12167</v>
      </c>
      <c r="BQ18" s="10">
        <v>12492</v>
      </c>
      <c r="BR18" s="10">
        <v>13229</v>
      </c>
      <c r="BS18" s="10">
        <v>12366</v>
      </c>
      <c r="BT18" s="10">
        <v>12225</v>
      </c>
      <c r="BU18" s="10">
        <v>12142</v>
      </c>
      <c r="BV18" s="10">
        <v>11197</v>
      </c>
      <c r="BW18" s="10">
        <v>11085</v>
      </c>
      <c r="BX18" s="10">
        <v>10648</v>
      </c>
      <c r="BY18" s="10">
        <v>10475</v>
      </c>
      <c r="BZ18" s="10">
        <v>10854</v>
      </c>
      <c r="CA18" s="10">
        <v>10477</v>
      </c>
      <c r="CB18" s="10">
        <v>10666</v>
      </c>
      <c r="CC18" s="10">
        <v>10647</v>
      </c>
      <c r="CD18" s="10">
        <v>9821</v>
      </c>
      <c r="CE18" s="10">
        <v>9017</v>
      </c>
      <c r="CF18" s="10">
        <v>8737</v>
      </c>
      <c r="CG18" s="10">
        <v>8053</v>
      </c>
      <c r="CH18" s="10">
        <v>8246</v>
      </c>
      <c r="CI18" s="10">
        <v>6712</v>
      </c>
      <c r="CJ18" s="10">
        <v>5366</v>
      </c>
      <c r="CK18" s="10">
        <v>5775</v>
      </c>
      <c r="CL18" s="10">
        <v>4765</v>
      </c>
      <c r="CM18" s="10">
        <v>4839</v>
      </c>
      <c r="CN18" s="10">
        <v>4704</v>
      </c>
      <c r="CO18" s="10">
        <v>5075</v>
      </c>
      <c r="CP18" s="10">
        <v>4844</v>
      </c>
      <c r="CQ18" s="10">
        <v>4232</v>
      </c>
      <c r="CR18" s="10">
        <v>3608</v>
      </c>
      <c r="CS18" s="10">
        <v>3684</v>
      </c>
      <c r="CT18" s="10">
        <v>3426</v>
      </c>
      <c r="CU18" s="10">
        <v>3595</v>
      </c>
      <c r="CV18" s="10">
        <v>3302</v>
      </c>
      <c r="CW18" s="10">
        <v>2822</v>
      </c>
      <c r="CX18" s="10">
        <v>2726</v>
      </c>
      <c r="CY18" s="10">
        <v>2402</v>
      </c>
      <c r="CZ18" s="10">
        <v>2115</v>
      </c>
      <c r="DA18" s="10">
        <v>1774</v>
      </c>
      <c r="DB18" s="10">
        <v>1576</v>
      </c>
      <c r="DC18" s="10">
        <v>1402</v>
      </c>
      <c r="DD18" s="10">
        <v>1198</v>
      </c>
      <c r="DE18" s="10">
        <v>888</v>
      </c>
      <c r="DF18" s="10">
        <v>599</v>
      </c>
      <c r="DG18" s="10">
        <v>489</v>
      </c>
      <c r="DH18" s="10">
        <v>395</v>
      </c>
      <c r="DI18" s="10">
        <v>223</v>
      </c>
      <c r="DJ18" s="10">
        <v>173</v>
      </c>
      <c r="DK18" s="10">
        <v>103</v>
      </c>
      <c r="DL18" s="10">
        <v>67</v>
      </c>
      <c r="DM18" s="10">
        <v>232</v>
      </c>
      <c r="DN18" s="11">
        <v>53.1</v>
      </c>
      <c r="DO18" s="11">
        <v>52.1</v>
      </c>
      <c r="DP18" s="11">
        <v>53.1</v>
      </c>
      <c r="DQ18" s="11">
        <v>52.7</v>
      </c>
      <c r="DR18" s="11">
        <v>52.9</v>
      </c>
      <c r="DS18" s="11">
        <v>53.4</v>
      </c>
      <c r="DT18" s="11">
        <v>53.3</v>
      </c>
      <c r="DU18" s="12">
        <f>비용계산근거!J19</f>
        <v>5.2460000000000004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4"/>
  <cols>
    <col min="1" max="10" width="25" customWidth="1"/>
  </cols>
  <sheetData>
    <row r="1" spans="1:10" ht="110" customHeight="1">
      <c r="A1" s="2" t="s">
        <v>0</v>
      </c>
      <c r="B1" s="2" t="s">
        <v>142</v>
      </c>
      <c r="C1" s="2" t="s">
        <v>143</v>
      </c>
      <c r="D1" s="2" t="s">
        <v>144</v>
      </c>
      <c r="E1" s="2" t="s">
        <v>145</v>
      </c>
      <c r="F1" s="2" t="s">
        <v>146</v>
      </c>
      <c r="G1" s="2" t="s">
        <v>147</v>
      </c>
      <c r="H1" s="2" t="s">
        <v>148</v>
      </c>
      <c r="I1" s="2" t="s">
        <v>149</v>
      </c>
      <c r="J1" s="2" t="s">
        <v>150</v>
      </c>
    </row>
    <row r="2" spans="1:10" ht="24" customHeight="1">
      <c r="A2" s="8" t="s">
        <v>151</v>
      </c>
      <c r="B2" s="8">
        <v>1</v>
      </c>
      <c r="C2" s="8">
        <v>3</v>
      </c>
      <c r="D2" s="8">
        <v>5</v>
      </c>
      <c r="E2" s="8">
        <v>7</v>
      </c>
      <c r="F2" s="8">
        <v>9</v>
      </c>
      <c r="G2" s="8">
        <v>11</v>
      </c>
      <c r="H2" s="8">
        <v>13</v>
      </c>
      <c r="I2" s="1"/>
      <c r="J2" s="1"/>
    </row>
    <row r="3" spans="1:10" ht="24" customHeight="1">
      <c r="A3" s="1" t="s">
        <v>125</v>
      </c>
      <c r="B3" s="5">
        <v>8.6999999999999993</v>
      </c>
      <c r="C3" s="5">
        <v>29.5</v>
      </c>
      <c r="D3" s="5">
        <v>27.3</v>
      </c>
      <c r="E3" s="5">
        <v>21.1</v>
      </c>
      <c r="F3" s="5">
        <v>7.5</v>
      </c>
      <c r="G3" s="5">
        <v>2.6</v>
      </c>
      <c r="H3" s="5">
        <v>3.5</v>
      </c>
      <c r="I3" s="5">
        <f t="shared" ref="I3:I19" si="0">SUM(B3:H3)</f>
        <v>100.19999999999999</v>
      </c>
      <c r="J3" s="7">
        <f t="shared" ref="J3:J19" si="1">SUMPRODUCT(B3:H3,$B$2:$H$2)/100</f>
        <v>5.23</v>
      </c>
    </row>
    <row r="4" spans="1:10" ht="24" customHeight="1">
      <c r="A4" s="3" t="s">
        <v>126</v>
      </c>
      <c r="B4" s="4">
        <v>8.8000000000000007</v>
      </c>
      <c r="C4" s="4">
        <v>27.6</v>
      </c>
      <c r="D4" s="4">
        <v>29.9</v>
      </c>
      <c r="E4" s="4">
        <v>19.5</v>
      </c>
      <c r="F4" s="4">
        <v>7.6</v>
      </c>
      <c r="G4" s="4">
        <v>2.7</v>
      </c>
      <c r="H4" s="4">
        <v>4</v>
      </c>
      <c r="I4" s="4">
        <f t="shared" si="0"/>
        <v>100.10000000000001</v>
      </c>
      <c r="J4" s="6">
        <f t="shared" si="1"/>
        <v>5.2770000000000001</v>
      </c>
    </row>
    <row r="5" spans="1:10" ht="24" customHeight="1">
      <c r="A5" s="1" t="s">
        <v>127</v>
      </c>
      <c r="B5" s="5">
        <v>8.6999999999999993</v>
      </c>
      <c r="C5" s="5">
        <v>28.1</v>
      </c>
      <c r="D5" s="5">
        <v>28.7</v>
      </c>
      <c r="E5" s="5">
        <v>19.100000000000001</v>
      </c>
      <c r="F5" s="5">
        <v>9.1999999999999993</v>
      </c>
      <c r="G5" s="5">
        <v>2.7</v>
      </c>
      <c r="H5" s="5">
        <v>3.5</v>
      </c>
      <c r="I5" s="5">
        <f t="shared" si="0"/>
        <v>100</v>
      </c>
      <c r="J5" s="7">
        <f t="shared" si="1"/>
        <v>5.282</v>
      </c>
    </row>
    <row r="6" spans="1:10" ht="24" customHeight="1">
      <c r="A6" s="3" t="s">
        <v>128</v>
      </c>
      <c r="B6" s="4">
        <v>8.4</v>
      </c>
      <c r="C6" s="4">
        <v>30.2</v>
      </c>
      <c r="D6" s="4">
        <v>27.1</v>
      </c>
      <c r="E6" s="4">
        <v>19.399999999999999</v>
      </c>
      <c r="F6" s="4">
        <v>8.5</v>
      </c>
      <c r="G6" s="4">
        <v>2.4</v>
      </c>
      <c r="H6" s="4">
        <v>4</v>
      </c>
      <c r="I6" s="4">
        <f t="shared" si="0"/>
        <v>100</v>
      </c>
      <c r="J6" s="6">
        <f t="shared" si="1"/>
        <v>5.2519999999999989</v>
      </c>
    </row>
    <row r="7" spans="1:10" ht="24" customHeight="1">
      <c r="A7" s="1" t="s">
        <v>129</v>
      </c>
      <c r="B7" s="5">
        <v>7.8</v>
      </c>
      <c r="C7" s="5">
        <v>28</v>
      </c>
      <c r="D7" s="5">
        <v>31.1</v>
      </c>
      <c r="E7" s="5">
        <v>18.600000000000001</v>
      </c>
      <c r="F7" s="5">
        <v>7.7</v>
      </c>
      <c r="G7" s="5">
        <v>3</v>
      </c>
      <c r="H7" s="5">
        <v>3.8</v>
      </c>
      <c r="I7" s="5">
        <f t="shared" si="0"/>
        <v>100</v>
      </c>
      <c r="J7" s="7">
        <f t="shared" si="1"/>
        <v>5.2920000000000007</v>
      </c>
    </row>
    <row r="8" spans="1:10" ht="24" customHeight="1">
      <c r="A8" s="3" t="s">
        <v>130</v>
      </c>
      <c r="B8" s="4">
        <v>8.1</v>
      </c>
      <c r="C8" s="4">
        <v>25.1</v>
      </c>
      <c r="D8" s="4">
        <v>32.6</v>
      </c>
      <c r="E8" s="4">
        <v>20.100000000000001</v>
      </c>
      <c r="F8" s="4">
        <v>7.6</v>
      </c>
      <c r="G8" s="4">
        <v>2.5</v>
      </c>
      <c r="H8" s="4">
        <v>4</v>
      </c>
      <c r="I8" s="4">
        <f t="shared" si="0"/>
        <v>100</v>
      </c>
      <c r="J8" s="6">
        <f t="shared" si="1"/>
        <v>5.35</v>
      </c>
    </row>
    <row r="9" spans="1:10" ht="24" customHeight="1">
      <c r="A9" s="1" t="s">
        <v>131</v>
      </c>
      <c r="B9" s="5">
        <v>8.1999999999999993</v>
      </c>
      <c r="C9" s="5">
        <v>28.6</v>
      </c>
      <c r="D9" s="5">
        <v>31.1</v>
      </c>
      <c r="E9" s="5">
        <v>18.399999999999999</v>
      </c>
      <c r="F9" s="5">
        <v>7.5</v>
      </c>
      <c r="G9" s="5">
        <v>2.2000000000000002</v>
      </c>
      <c r="H9" s="5">
        <v>4</v>
      </c>
      <c r="I9" s="5">
        <f t="shared" si="0"/>
        <v>100.00000000000001</v>
      </c>
      <c r="J9" s="7">
        <f t="shared" si="1"/>
        <v>5.22</v>
      </c>
    </row>
    <row r="10" spans="1:10" ht="24" customHeight="1">
      <c r="A10" s="3" t="s">
        <v>132</v>
      </c>
      <c r="B10" s="4">
        <v>7.9</v>
      </c>
      <c r="C10" s="4">
        <v>27.1</v>
      </c>
      <c r="D10" s="4">
        <v>31.2</v>
      </c>
      <c r="E10" s="4">
        <v>19.2</v>
      </c>
      <c r="F10" s="4">
        <v>8.5</v>
      </c>
      <c r="G10" s="4">
        <v>2.4</v>
      </c>
      <c r="H10" s="4">
        <v>3.6</v>
      </c>
      <c r="I10" s="4">
        <f t="shared" si="0"/>
        <v>99.9</v>
      </c>
      <c r="J10" s="6">
        <f t="shared" si="1"/>
        <v>5.2929999999999993</v>
      </c>
    </row>
    <row r="11" spans="1:10" ht="24" customHeight="1">
      <c r="A11" s="1" t="s">
        <v>133</v>
      </c>
      <c r="B11" s="5">
        <v>8</v>
      </c>
      <c r="C11" s="5">
        <v>27.8</v>
      </c>
      <c r="D11" s="5">
        <v>29</v>
      </c>
      <c r="E11" s="5">
        <v>20.2</v>
      </c>
      <c r="F11" s="5">
        <v>7.9</v>
      </c>
      <c r="G11" s="5">
        <v>2.7</v>
      </c>
      <c r="H11" s="5">
        <v>4.4000000000000004</v>
      </c>
      <c r="I11" s="5">
        <f t="shared" si="0"/>
        <v>100.00000000000001</v>
      </c>
      <c r="J11" s="7">
        <f t="shared" si="1"/>
        <v>5.3580000000000005</v>
      </c>
    </row>
    <row r="12" spans="1:10" ht="24" customHeight="1">
      <c r="A12" s="3" t="s">
        <v>134</v>
      </c>
      <c r="B12" s="4">
        <v>7.8</v>
      </c>
      <c r="C12" s="4">
        <v>27.1</v>
      </c>
      <c r="D12" s="4">
        <v>30.3</v>
      </c>
      <c r="E12" s="4">
        <v>20.399999999999999</v>
      </c>
      <c r="F12" s="4">
        <v>8.3000000000000007</v>
      </c>
      <c r="G12" s="4">
        <v>2.6</v>
      </c>
      <c r="H12" s="4">
        <v>3.6</v>
      </c>
      <c r="I12" s="4">
        <f t="shared" si="0"/>
        <v>100.09999999999998</v>
      </c>
      <c r="J12" s="6">
        <f t="shared" si="1"/>
        <v>5.335</v>
      </c>
    </row>
    <row r="13" spans="1:10" ht="24" customHeight="1">
      <c r="A13" s="1" t="s">
        <v>135</v>
      </c>
      <c r="B13" s="5">
        <v>6.8</v>
      </c>
      <c r="C13" s="5">
        <v>28.8</v>
      </c>
      <c r="D13" s="5">
        <v>31</v>
      </c>
      <c r="E13" s="5">
        <v>19.100000000000001</v>
      </c>
      <c r="F13" s="5">
        <v>8.6999999999999993</v>
      </c>
      <c r="G13" s="5">
        <v>2.4</v>
      </c>
      <c r="H13" s="5">
        <v>3.2</v>
      </c>
      <c r="I13" s="5">
        <f t="shared" si="0"/>
        <v>100</v>
      </c>
      <c r="J13" s="7">
        <f t="shared" si="1"/>
        <v>5.2819999999999991</v>
      </c>
    </row>
    <row r="14" spans="1:10" ht="24" customHeight="1">
      <c r="A14" s="3" t="s">
        <v>136</v>
      </c>
      <c r="B14" s="4">
        <v>7.4</v>
      </c>
      <c r="C14" s="4">
        <v>27.6</v>
      </c>
      <c r="D14" s="4">
        <v>30.7</v>
      </c>
      <c r="E14" s="4">
        <v>19.600000000000001</v>
      </c>
      <c r="F14" s="4">
        <v>9.1</v>
      </c>
      <c r="G14" s="4">
        <v>2.5</v>
      </c>
      <c r="H14" s="4">
        <v>3</v>
      </c>
      <c r="I14" s="4">
        <f t="shared" si="0"/>
        <v>99.9</v>
      </c>
      <c r="J14" s="6">
        <f t="shared" si="1"/>
        <v>5.2929999999999993</v>
      </c>
    </row>
    <row r="15" spans="1:10" ht="24" customHeight="1">
      <c r="A15" s="1" t="s">
        <v>137</v>
      </c>
      <c r="B15" s="5">
        <v>7.6</v>
      </c>
      <c r="C15" s="5">
        <v>26.7</v>
      </c>
      <c r="D15" s="5">
        <v>31.9</v>
      </c>
      <c r="E15" s="5">
        <v>19.8</v>
      </c>
      <c r="F15" s="5">
        <v>7.1</v>
      </c>
      <c r="G15" s="5">
        <v>2.9</v>
      </c>
      <c r="H15" s="5">
        <v>4</v>
      </c>
      <c r="I15" s="5">
        <f t="shared" si="0"/>
        <v>99.999999999999986</v>
      </c>
      <c r="J15" s="7">
        <f t="shared" si="1"/>
        <v>5.3359999999999994</v>
      </c>
    </row>
    <row r="16" spans="1:10" ht="24" customHeight="1">
      <c r="A16" s="3" t="s">
        <v>138</v>
      </c>
      <c r="B16" s="4">
        <v>7.8</v>
      </c>
      <c r="C16" s="4">
        <v>27.4</v>
      </c>
      <c r="D16" s="4">
        <v>30.5</v>
      </c>
      <c r="E16" s="4">
        <v>18.899999999999999</v>
      </c>
      <c r="F16" s="4">
        <v>8</v>
      </c>
      <c r="G16" s="4">
        <v>2.8</v>
      </c>
      <c r="H16" s="4">
        <v>4.5999999999999996</v>
      </c>
      <c r="I16" s="4">
        <f t="shared" si="0"/>
        <v>99.999999999999986</v>
      </c>
      <c r="J16" s="6">
        <f t="shared" si="1"/>
        <v>5.3739999999999997</v>
      </c>
    </row>
    <row r="17" spans="1:10" ht="24" customHeight="1">
      <c r="A17" s="1" t="s">
        <v>139</v>
      </c>
      <c r="B17" s="5">
        <v>7.3</v>
      </c>
      <c r="C17" s="5">
        <v>26.5</v>
      </c>
      <c r="D17" s="5">
        <v>32</v>
      </c>
      <c r="E17" s="5">
        <v>19.399999999999999</v>
      </c>
      <c r="F17" s="5">
        <v>8.1</v>
      </c>
      <c r="G17" s="5">
        <v>2.9</v>
      </c>
      <c r="H17" s="5">
        <v>3.8</v>
      </c>
      <c r="I17" s="5">
        <f t="shared" si="0"/>
        <v>99.999999999999986</v>
      </c>
      <c r="J17" s="7">
        <f t="shared" si="1"/>
        <v>5.3679999999999994</v>
      </c>
    </row>
    <row r="18" spans="1:10" ht="24" customHeight="1">
      <c r="A18" s="3" t="s">
        <v>140</v>
      </c>
      <c r="B18" s="4">
        <v>8</v>
      </c>
      <c r="C18" s="4">
        <v>26.9</v>
      </c>
      <c r="D18" s="4">
        <v>30.9</v>
      </c>
      <c r="E18" s="4">
        <v>19.5</v>
      </c>
      <c r="F18" s="4">
        <v>7.6</v>
      </c>
      <c r="G18" s="4">
        <v>2.7</v>
      </c>
      <c r="H18" s="4">
        <v>4.4000000000000004</v>
      </c>
      <c r="I18" s="4">
        <f t="shared" si="0"/>
        <v>100</v>
      </c>
      <c r="J18" s="6">
        <f t="shared" si="1"/>
        <v>5.35</v>
      </c>
    </row>
    <row r="19" spans="1:10" ht="24" customHeight="1">
      <c r="A19" s="1" t="s">
        <v>141</v>
      </c>
      <c r="B19" s="5">
        <v>8.3000000000000007</v>
      </c>
      <c r="C19" s="5">
        <v>28.5</v>
      </c>
      <c r="D19" s="5">
        <v>30.8</v>
      </c>
      <c r="E19" s="5">
        <v>17.7</v>
      </c>
      <c r="F19" s="5">
        <v>8.4</v>
      </c>
      <c r="G19" s="5">
        <v>2.2999999999999998</v>
      </c>
      <c r="H19" s="5">
        <v>4</v>
      </c>
      <c r="I19" s="5">
        <f t="shared" si="0"/>
        <v>100</v>
      </c>
      <c r="J19" s="7">
        <f t="shared" si="1"/>
        <v>5.2460000000000004</v>
      </c>
    </row>
    <row r="20" spans="1:10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24" customHeight="1">
      <c r="A22" s="1" t="s">
        <v>152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ht="24" customHeight="1">
      <c r="A23" s="1" t="s">
        <v>153</v>
      </c>
      <c r="B23" s="1"/>
      <c r="C23" s="1"/>
      <c r="D23" s="1"/>
      <c r="E23" s="1"/>
      <c r="F23" s="1"/>
      <c r="G23" s="1"/>
      <c r="H23" s="1"/>
      <c r="I23" s="1"/>
      <c r="J23" s="1"/>
    </row>
  </sheetData>
  <phoneticPr fontId="4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통합데이터</vt:lpstr>
      <vt:lpstr>비용계산근거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박상준</cp:lastModifiedBy>
  <dcterms:modified xsi:type="dcterms:W3CDTF">2026-09-27T05:42:18Z</dcterms:modified>
</cp:coreProperties>
</file>